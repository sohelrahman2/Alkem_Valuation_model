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350b166e0929022/Documents/"/>
    </mc:Choice>
  </mc:AlternateContent>
  <xr:revisionPtr revIDLastSave="1744" documentId="8_{6705FA90-E06C-41CB-AEEE-0A99DD557CCF}" xr6:coauthVersionLast="47" xr6:coauthVersionMax="47" xr10:uidLastSave="{B00703EB-0429-4B36-9F2D-36BC2A9CEF6E}"/>
  <bookViews>
    <workbookView xWindow="-110" yWindow="-110" windowWidth="19420" windowHeight="10300" firstSheet="3" activeTab="3" xr2:uid="{692B6EBC-893E-440F-AE67-57AB3BB761E2}"/>
  </bookViews>
  <sheets>
    <sheet name="PL Statement" sheetId="3" r:id="rId1"/>
    <sheet name="BALANCE SHEET" sheetId="1" r:id="rId2"/>
    <sheet name="Cash Flow Statement" sheetId="4" r:id="rId3"/>
    <sheet name="Model" sheetId="2" r:id="rId4"/>
    <sheet name="Scenario" sheetId="5" r:id="rId5"/>
    <sheet name="Market" sheetId="7" r:id="rId6"/>
    <sheet name="Comp Valuation" sheetId="6" r:id="rId7"/>
    <sheet name="WACC" sheetId="8" r:id="rId8"/>
    <sheet name="Beta" sheetId="9" r:id="rId9"/>
    <sheet name="Summary" sheetId="11" r:id="rId10"/>
  </sheet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0" i="11" l="1"/>
  <c r="K9" i="11"/>
  <c r="K8" i="11"/>
  <c r="J10" i="11"/>
  <c r="J9" i="11"/>
  <c r="J8" i="11"/>
  <c r="J7" i="11"/>
  <c r="H7" i="9"/>
  <c r="H6" i="9"/>
  <c r="I10" i="11"/>
  <c r="I8" i="11"/>
  <c r="H10" i="11"/>
  <c r="H9" i="11"/>
  <c r="H8" i="11"/>
  <c r="H7" i="11"/>
  <c r="I186" i="2"/>
  <c r="I184" i="2"/>
  <c r="I177" i="2"/>
  <c r="I175" i="2"/>
  <c r="O161" i="2"/>
  <c r="K167" i="2"/>
  <c r="K165" i="2"/>
  <c r="K164" i="2"/>
  <c r="K163" i="2"/>
  <c r="K162" i="2"/>
  <c r="K161" i="2"/>
  <c r="E138" i="2"/>
  <c r="F163" i="2"/>
  <c r="F164" i="2"/>
  <c r="F162" i="2"/>
  <c r="E137" i="2"/>
  <c r="E135" i="2"/>
  <c r="I150" i="2"/>
  <c r="E134" i="2"/>
  <c r="J145" i="2"/>
  <c r="K145" i="2"/>
  <c r="L145" i="2"/>
  <c r="M145" i="2"/>
  <c r="I145" i="2"/>
  <c r="N143" i="2"/>
  <c r="J143" i="2"/>
  <c r="K143" i="2"/>
  <c r="L143" i="2"/>
  <c r="M143" i="2"/>
  <c r="I143" i="2"/>
  <c r="M142" i="2"/>
  <c r="K142" i="2"/>
  <c r="L142" i="2"/>
  <c r="J142" i="2"/>
  <c r="I142" i="2"/>
  <c r="H9" i="9"/>
  <c r="C8" i="9"/>
  <c r="C9" i="9"/>
  <c r="C10" i="9"/>
  <c r="C11" i="9"/>
  <c r="C12" i="9"/>
  <c r="C13" i="9"/>
  <c r="C14" i="9"/>
  <c r="C15" i="9"/>
  <c r="C16" i="9"/>
  <c r="C17" i="9"/>
  <c r="C18" i="9"/>
  <c r="C19" i="9"/>
  <c r="C20" i="9"/>
  <c r="C21" i="9"/>
  <c r="C22" i="9"/>
  <c r="C23" i="9"/>
  <c r="C24" i="9"/>
  <c r="C25" i="9"/>
  <c r="C26" i="9"/>
  <c r="C27" i="9"/>
  <c r="C28" i="9"/>
  <c r="C29" i="9"/>
  <c r="C30" i="9"/>
  <c r="C31" i="9"/>
  <c r="C32" i="9"/>
  <c r="C33" i="9"/>
  <c r="C34" i="9"/>
  <c r="C35" i="9"/>
  <c r="C36" i="9"/>
  <c r="C37" i="9"/>
  <c r="C38" i="9"/>
  <c r="C39" i="9"/>
  <c r="C40" i="9"/>
  <c r="C41" i="9"/>
  <c r="C42" i="9"/>
  <c r="C43" i="9"/>
  <c r="C44" i="9"/>
  <c r="C45" i="9"/>
  <c r="C46" i="9"/>
  <c r="C47" i="9"/>
  <c r="C48" i="9"/>
  <c r="C49" i="9"/>
  <c r="C50" i="9"/>
  <c r="C51" i="9"/>
  <c r="C52" i="9"/>
  <c r="C53" i="9"/>
  <c r="C54" i="9"/>
  <c r="C55" i="9"/>
  <c r="C56" i="9"/>
  <c r="C57" i="9"/>
  <c r="C58" i="9"/>
  <c r="C59" i="9"/>
  <c r="C60" i="9"/>
  <c r="C61" i="9"/>
  <c r="C62" i="9"/>
  <c r="C63" i="9"/>
  <c r="C64" i="9"/>
  <c r="C65" i="9"/>
  <c r="C66" i="9"/>
  <c r="C7" i="9"/>
  <c r="E8" i="9"/>
  <c r="E9" i="9"/>
  <c r="E10" i="9"/>
  <c r="E11" i="9"/>
  <c r="E12" i="9"/>
  <c r="E13" i="9"/>
  <c r="E14" i="9"/>
  <c r="E15" i="9"/>
  <c r="E16" i="9"/>
  <c r="E17" i="9"/>
  <c r="E18" i="9"/>
  <c r="E19" i="9"/>
  <c r="E20" i="9"/>
  <c r="E21" i="9"/>
  <c r="E22" i="9"/>
  <c r="E23" i="9"/>
  <c r="E24" i="9"/>
  <c r="E25" i="9"/>
  <c r="E26" i="9"/>
  <c r="E27" i="9"/>
  <c r="E28" i="9"/>
  <c r="E29" i="9"/>
  <c r="E30" i="9"/>
  <c r="E31" i="9"/>
  <c r="E32" i="9"/>
  <c r="E33" i="9"/>
  <c r="E34" i="9"/>
  <c r="E35" i="9"/>
  <c r="E36" i="9"/>
  <c r="E37" i="9"/>
  <c r="E38" i="9"/>
  <c r="E39" i="9"/>
  <c r="E40" i="9"/>
  <c r="E41" i="9"/>
  <c r="E42" i="9"/>
  <c r="E43" i="9"/>
  <c r="E44" i="9"/>
  <c r="E45" i="9"/>
  <c r="E46" i="9"/>
  <c r="E47" i="9"/>
  <c r="E48" i="9"/>
  <c r="E49" i="9"/>
  <c r="E50" i="9"/>
  <c r="E51" i="9"/>
  <c r="E52" i="9"/>
  <c r="E53" i="9"/>
  <c r="E54" i="9"/>
  <c r="E55" i="9"/>
  <c r="E56" i="9"/>
  <c r="E57" i="9"/>
  <c r="E58" i="9"/>
  <c r="E59" i="9"/>
  <c r="E60" i="9"/>
  <c r="E61" i="9"/>
  <c r="E62" i="9"/>
  <c r="E63" i="9"/>
  <c r="E64" i="9"/>
  <c r="E65" i="9"/>
  <c r="E66" i="9"/>
  <c r="E7" i="9"/>
  <c r="E48" i="8"/>
  <c r="E46" i="8"/>
  <c r="E45" i="8"/>
  <c r="E44" i="8"/>
  <c r="E39" i="8"/>
  <c r="E38" i="8"/>
  <c r="E37" i="8"/>
  <c r="E34" i="8"/>
  <c r="E33" i="8"/>
  <c r="E32" i="8"/>
  <c r="E30" i="8"/>
  <c r="E29" i="8"/>
  <c r="K23" i="8"/>
  <c r="J23" i="8"/>
  <c r="I23" i="8"/>
  <c r="H23" i="8"/>
  <c r="J21" i="8"/>
  <c r="K21" i="8"/>
  <c r="L21" i="8"/>
  <c r="M21" i="8"/>
  <c r="N21" i="8"/>
  <c r="J20" i="8"/>
  <c r="K20" i="8"/>
  <c r="L20" i="8"/>
  <c r="M20" i="8"/>
  <c r="N20" i="8"/>
  <c r="N10" i="8"/>
  <c r="N11" i="8"/>
  <c r="N13" i="8"/>
  <c r="N14" i="8"/>
  <c r="N15" i="8"/>
  <c r="N16" i="8"/>
  <c r="N17" i="8"/>
  <c r="N18" i="8"/>
  <c r="N9" i="8"/>
  <c r="K10" i="8" l="1"/>
  <c r="K11" i="8"/>
  <c r="K12" i="8"/>
  <c r="K13" i="8"/>
  <c r="K14" i="8"/>
  <c r="K15" i="8"/>
  <c r="K16" i="8"/>
  <c r="K17" i="8"/>
  <c r="K18" i="8"/>
  <c r="K9" i="8"/>
  <c r="J10" i="8"/>
  <c r="J11" i="8"/>
  <c r="J12" i="8"/>
  <c r="J13" i="8"/>
  <c r="J14" i="8"/>
  <c r="J15" i="8"/>
  <c r="J16" i="8"/>
  <c r="J17" i="8"/>
  <c r="J18" i="8"/>
  <c r="J9" i="8"/>
  <c r="I9" i="8"/>
  <c r="I10" i="8"/>
  <c r="I11" i="8"/>
  <c r="I12" i="8"/>
  <c r="I13" i="8"/>
  <c r="I14" i="8"/>
  <c r="I15" i="8"/>
  <c r="I16" i="8"/>
  <c r="I17" i="8"/>
  <c r="I18" i="8"/>
  <c r="H9" i="8"/>
  <c r="H10" i="8"/>
  <c r="H11" i="8"/>
  <c r="H12" i="8"/>
  <c r="H13" i="8"/>
  <c r="H14" i="8"/>
  <c r="H15" i="8"/>
  <c r="H16" i="8"/>
  <c r="H17" i="8"/>
  <c r="H18" i="8"/>
  <c r="G8" i="7"/>
  <c r="G6" i="7"/>
  <c r="M89" i="2" l="1"/>
  <c r="H54" i="2" l="1"/>
  <c r="I23" i="1"/>
  <c r="H26" i="2"/>
  <c r="G25" i="6"/>
  <c r="J27" i="6"/>
  <c r="H25" i="6"/>
  <c r="J25" i="6" s="1"/>
  <c r="I26" i="6"/>
  <c r="I27" i="6"/>
  <c r="I25" i="6"/>
  <c r="G27" i="6"/>
  <c r="F27" i="6" s="1"/>
  <c r="G26" i="6"/>
  <c r="H26" i="6" s="1"/>
  <c r="J26" i="6" s="1"/>
  <c r="H27" i="6"/>
  <c r="F26" i="6"/>
  <c r="F25" i="6"/>
  <c r="E27" i="6"/>
  <c r="E26" i="6"/>
  <c r="E25" i="6"/>
  <c r="S22" i="6"/>
  <c r="R22" i="6"/>
  <c r="Q22" i="6"/>
  <c r="K22" i="6"/>
  <c r="H22" i="6"/>
  <c r="R20" i="6"/>
  <c r="S20" i="6"/>
  <c r="Q20" i="6"/>
  <c r="R19" i="6"/>
  <c r="S19" i="6"/>
  <c r="Q19" i="6"/>
  <c r="S17" i="6"/>
  <c r="S8" i="6"/>
  <c r="S9" i="6"/>
  <c r="S10" i="6"/>
  <c r="S11" i="6"/>
  <c r="S12" i="6"/>
  <c r="S13" i="6"/>
  <c r="S14" i="6"/>
  <c r="S15" i="6"/>
  <c r="S16" i="6"/>
  <c r="R8" i="6"/>
  <c r="R9" i="6"/>
  <c r="R10" i="6"/>
  <c r="R11" i="6"/>
  <c r="R12" i="6"/>
  <c r="R13" i="6"/>
  <c r="R14" i="6"/>
  <c r="R15" i="6"/>
  <c r="R16" i="6"/>
  <c r="R17" i="6"/>
  <c r="Q8" i="6"/>
  <c r="Q9" i="6"/>
  <c r="Q10" i="6"/>
  <c r="Q11" i="6"/>
  <c r="Q12" i="6"/>
  <c r="Q13" i="6"/>
  <c r="Q14" i="6"/>
  <c r="Q15" i="6"/>
  <c r="Q16" i="6"/>
  <c r="Q17" i="6"/>
  <c r="K8" i="6"/>
  <c r="K9" i="6"/>
  <c r="K10" i="6"/>
  <c r="K11" i="6"/>
  <c r="K12" i="6"/>
  <c r="K13" i="6"/>
  <c r="K14" i="6"/>
  <c r="K15" i="6"/>
  <c r="K16" i="6"/>
  <c r="K17" i="6"/>
  <c r="H9" i="6"/>
  <c r="H10" i="6"/>
  <c r="H11" i="6"/>
  <c r="H12" i="6"/>
  <c r="H13" i="6"/>
  <c r="H14" i="6"/>
  <c r="H15" i="6"/>
  <c r="H16" i="6"/>
  <c r="H17" i="6"/>
  <c r="H8" i="6"/>
  <c r="M103" i="2"/>
  <c r="M99" i="2"/>
  <c r="N99" i="2"/>
  <c r="O99" i="2"/>
  <c r="P99" i="2"/>
  <c r="Q99" i="2"/>
  <c r="N96" i="2"/>
  <c r="O96" i="2"/>
  <c r="P96" i="2"/>
  <c r="Q96" i="2"/>
  <c r="M96" i="2"/>
  <c r="N89" i="2"/>
  <c r="O89" i="2"/>
  <c r="P89" i="2"/>
  <c r="Q89" i="2"/>
  <c r="N114" i="2"/>
  <c r="O114" i="2"/>
  <c r="P114" i="2"/>
  <c r="Q114" i="2"/>
  <c r="M114" i="2"/>
  <c r="I73" i="2"/>
  <c r="J73" i="2"/>
  <c r="K73" i="2"/>
  <c r="L73" i="2"/>
  <c r="M70" i="2"/>
  <c r="N70" i="2" s="1"/>
  <c r="O70" i="2" s="1"/>
  <c r="P70" i="2" s="1"/>
  <c r="Q70" i="2" s="1"/>
  <c r="N67" i="2"/>
  <c r="O67" i="2"/>
  <c r="P67" i="2"/>
  <c r="Q67" i="2"/>
  <c r="M67" i="2"/>
  <c r="M64" i="2"/>
  <c r="N64" i="2" s="1"/>
  <c r="O64" i="2" s="1"/>
  <c r="P64" i="2" s="1"/>
  <c r="Q64" i="2" s="1"/>
  <c r="M63" i="2"/>
  <c r="M61" i="2"/>
  <c r="N61" i="2" s="1"/>
  <c r="O61" i="2" s="1"/>
  <c r="P61" i="2" s="1"/>
  <c r="Q61" i="2" s="1"/>
  <c r="M55" i="2"/>
  <c r="N55" i="2" s="1"/>
  <c r="O55" i="2" s="1"/>
  <c r="P55" i="2" s="1"/>
  <c r="Q55" i="2" s="1"/>
  <c r="M54" i="2"/>
  <c r="N54" i="2"/>
  <c r="O54" i="2"/>
  <c r="P54" i="2"/>
  <c r="Q54" i="2"/>
  <c r="N53" i="2"/>
  <c r="O53" i="2"/>
  <c r="P53" i="2" s="1"/>
  <c r="Q53" i="2" s="1"/>
  <c r="M53" i="2"/>
  <c r="N49" i="2"/>
  <c r="O49" i="2"/>
  <c r="P49" i="2"/>
  <c r="Q49" i="2" s="1"/>
  <c r="M49" i="2"/>
  <c r="N46" i="2"/>
  <c r="O46" i="2" s="1"/>
  <c r="P46" i="2" s="1"/>
  <c r="Q46" i="2" s="1"/>
  <c r="M46" i="2"/>
  <c r="N125" i="2"/>
  <c r="O125" i="2"/>
  <c r="P125" i="2"/>
  <c r="Q125" i="2"/>
  <c r="M126" i="2"/>
  <c r="M127" i="2" s="1"/>
  <c r="M34" i="2" s="1"/>
  <c r="M125" i="2"/>
  <c r="M124" i="2"/>
  <c r="M118" i="2"/>
  <c r="G7" i="2"/>
  <c r="M8" i="2" s="1" a="1"/>
  <c r="M8" i="2" s="1"/>
  <c r="M25" i="2" s="1"/>
  <c r="N25" i="2" s="1"/>
  <c r="O25" i="2" s="1"/>
  <c r="P25" i="2" s="1"/>
  <c r="Q25" i="2" s="1"/>
  <c r="Q35" i="2" s="1"/>
  <c r="Q91" i="2" s="1"/>
  <c r="E8" i="5"/>
  <c r="J5" i="5"/>
  <c r="K5" i="5" s="1"/>
  <c r="L5" i="5" s="1"/>
  <c r="I6" i="5"/>
  <c r="J6" i="5" s="1"/>
  <c r="K6" i="5" s="1"/>
  <c r="L6" i="5" s="1"/>
  <c r="I7" i="5"/>
  <c r="J7" i="5" s="1"/>
  <c r="K7" i="5" s="1"/>
  <c r="L7" i="5" s="1"/>
  <c r="I5" i="5"/>
  <c r="H6" i="5"/>
  <c r="H7" i="5"/>
  <c r="H5" i="5"/>
  <c r="I4" i="5"/>
  <c r="J4" i="5"/>
  <c r="K4" i="5"/>
  <c r="L4" i="5"/>
  <c r="H4" i="5"/>
  <c r="E7" i="5"/>
  <c r="E6" i="5"/>
  <c r="E5" i="5"/>
  <c r="O20" i="2"/>
  <c r="P20" i="2"/>
  <c r="Q20" i="2"/>
  <c r="N20" i="2"/>
  <c r="M20" i="2"/>
  <c r="O17" i="2"/>
  <c r="P17" i="2"/>
  <c r="Q17" i="2"/>
  <c r="N17" i="2"/>
  <c r="M17" i="2"/>
  <c r="O10" i="2"/>
  <c r="P10" i="2"/>
  <c r="Q10" i="2"/>
  <c r="O11" i="2"/>
  <c r="P11" i="2"/>
  <c r="Q11" i="2"/>
  <c r="O13" i="2"/>
  <c r="P13" i="2"/>
  <c r="Q13" i="2"/>
  <c r="O14" i="2"/>
  <c r="P14" i="2"/>
  <c r="Q14" i="2"/>
  <c r="N10" i="2"/>
  <c r="N11" i="2"/>
  <c r="N13" i="2"/>
  <c r="N14" i="2"/>
  <c r="M10" i="2"/>
  <c r="M11" i="2"/>
  <c r="M13" i="2"/>
  <c r="M14" i="2"/>
  <c r="I20" i="2"/>
  <c r="J20" i="2"/>
  <c r="K20" i="2"/>
  <c r="L20" i="2"/>
  <c r="H20" i="2"/>
  <c r="L17" i="2"/>
  <c r="I18" i="2"/>
  <c r="J18" i="2"/>
  <c r="J10" i="2"/>
  <c r="K10" i="2"/>
  <c r="L10" i="2"/>
  <c r="K8" i="2"/>
  <c r="L8" i="2"/>
  <c r="I114" i="2"/>
  <c r="J114" i="2"/>
  <c r="K114" i="2"/>
  <c r="L114" i="2"/>
  <c r="H114" i="2"/>
  <c r="I113" i="2"/>
  <c r="J113" i="2"/>
  <c r="K113" i="2"/>
  <c r="L113" i="2"/>
  <c r="H113" i="2"/>
  <c r="I112" i="2"/>
  <c r="J112" i="2"/>
  <c r="K112" i="2"/>
  <c r="L112" i="2"/>
  <c r="H112" i="2"/>
  <c r="I111" i="2"/>
  <c r="J111" i="2"/>
  <c r="K111" i="2"/>
  <c r="L111" i="2"/>
  <c r="H111" i="2"/>
  <c r="H103" i="2"/>
  <c r="I103" i="2"/>
  <c r="J103" i="2"/>
  <c r="K103" i="2"/>
  <c r="L103" i="2"/>
  <c r="I98" i="2"/>
  <c r="J98" i="2"/>
  <c r="K98" i="2"/>
  <c r="L98" i="2"/>
  <c r="H98" i="2"/>
  <c r="H99" i="2"/>
  <c r="I99" i="2"/>
  <c r="J99" i="2"/>
  <c r="K99" i="2"/>
  <c r="L99" i="2"/>
  <c r="I97" i="2"/>
  <c r="J97" i="2"/>
  <c r="K97" i="2"/>
  <c r="L97" i="2"/>
  <c r="H97" i="2"/>
  <c r="I96" i="2"/>
  <c r="J96" i="2"/>
  <c r="K96" i="2"/>
  <c r="L96" i="2"/>
  <c r="H96" i="2"/>
  <c r="H90" i="2"/>
  <c r="I90" i="2"/>
  <c r="J90" i="2"/>
  <c r="K90" i="2"/>
  <c r="L90" i="2"/>
  <c r="H91" i="2"/>
  <c r="I91" i="2"/>
  <c r="J91" i="2"/>
  <c r="K91" i="2"/>
  <c r="L91" i="2"/>
  <c r="H92" i="2"/>
  <c r="I92" i="2"/>
  <c r="J92" i="2"/>
  <c r="K92" i="2"/>
  <c r="L92" i="2"/>
  <c r="I89" i="2"/>
  <c r="J89" i="2"/>
  <c r="K89" i="2"/>
  <c r="L89" i="2"/>
  <c r="H89" i="2"/>
  <c r="H88" i="2"/>
  <c r="I88" i="2"/>
  <c r="J88" i="2"/>
  <c r="K88" i="2"/>
  <c r="L88" i="2"/>
  <c r="H87" i="2"/>
  <c r="I87" i="2"/>
  <c r="J87" i="2"/>
  <c r="K87" i="2"/>
  <c r="L87" i="2"/>
  <c r="I82" i="2"/>
  <c r="J82" i="2"/>
  <c r="K82" i="2"/>
  <c r="L82" i="2"/>
  <c r="H82" i="2"/>
  <c r="I81" i="2"/>
  <c r="I120" i="2" s="1"/>
  <c r="J81" i="2"/>
  <c r="J120" i="2" s="1"/>
  <c r="K81" i="2"/>
  <c r="K120" i="2" s="1"/>
  <c r="L81" i="2"/>
  <c r="L120" i="2" s="1"/>
  <c r="H81" i="2"/>
  <c r="H120" i="2" s="1"/>
  <c r="I80" i="2"/>
  <c r="J80" i="2"/>
  <c r="K80" i="2"/>
  <c r="L80" i="2"/>
  <c r="H80" i="2"/>
  <c r="H70" i="2"/>
  <c r="I70" i="2"/>
  <c r="J70" i="2"/>
  <c r="K70" i="2"/>
  <c r="L70" i="2"/>
  <c r="H67" i="2"/>
  <c r="I67" i="2"/>
  <c r="J67" i="2"/>
  <c r="K67" i="2"/>
  <c r="L67" i="2"/>
  <c r="I68" i="2"/>
  <c r="J68" i="2"/>
  <c r="K68" i="2"/>
  <c r="L68" i="2"/>
  <c r="H68" i="2"/>
  <c r="I64" i="2"/>
  <c r="J64" i="2"/>
  <c r="K64" i="2"/>
  <c r="L64" i="2"/>
  <c r="H64" i="2"/>
  <c r="I63" i="2"/>
  <c r="I126" i="2" s="1"/>
  <c r="J63" i="2"/>
  <c r="J126" i="2" s="1"/>
  <c r="K124" i="2" s="1"/>
  <c r="K63" i="2"/>
  <c r="K126" i="2" s="1"/>
  <c r="L63" i="2"/>
  <c r="L126" i="2" s="1"/>
  <c r="H63" i="2"/>
  <c r="H126" i="2" s="1"/>
  <c r="I124" i="2" s="1"/>
  <c r="I61" i="2"/>
  <c r="J61" i="2"/>
  <c r="K61" i="2"/>
  <c r="L61" i="2"/>
  <c r="H61" i="2"/>
  <c r="H60" i="2"/>
  <c r="H19" i="2" s="1"/>
  <c r="M19" i="2" s="1"/>
  <c r="N19" i="2" s="1"/>
  <c r="O19" i="2" s="1"/>
  <c r="P19" i="2" s="1"/>
  <c r="Q19" i="2" s="1"/>
  <c r="I60" i="2"/>
  <c r="I19" i="2" s="1"/>
  <c r="J60" i="2"/>
  <c r="J19" i="2" s="1"/>
  <c r="K60" i="2"/>
  <c r="L60" i="2"/>
  <c r="I54" i="2"/>
  <c r="J54" i="2"/>
  <c r="K54" i="2"/>
  <c r="L54" i="2"/>
  <c r="H55" i="2"/>
  <c r="I55" i="2"/>
  <c r="J55" i="2"/>
  <c r="K55" i="2"/>
  <c r="L55" i="2"/>
  <c r="H53" i="2"/>
  <c r="I53" i="2"/>
  <c r="J53" i="2"/>
  <c r="K53" i="2"/>
  <c r="L53" i="2"/>
  <c r="I52" i="2"/>
  <c r="I121" i="2" s="1"/>
  <c r="J118" i="2" s="1"/>
  <c r="J12" i="2" s="1"/>
  <c r="J52" i="2"/>
  <c r="J121" i="2" s="1"/>
  <c r="J119" i="2" s="1"/>
  <c r="K52" i="2"/>
  <c r="K121" i="2" s="1"/>
  <c r="L52" i="2"/>
  <c r="L121" i="2" s="1"/>
  <c r="H52" i="2"/>
  <c r="H121" i="2" s="1"/>
  <c r="I118" i="2" s="1"/>
  <c r="H49" i="2"/>
  <c r="I49" i="2"/>
  <c r="J49" i="2"/>
  <c r="K49" i="2"/>
  <c r="L49" i="2"/>
  <c r="H48" i="2"/>
  <c r="H18" i="2" s="1"/>
  <c r="M18" i="2" s="1"/>
  <c r="N18" i="2" s="1"/>
  <c r="O18" i="2" s="1"/>
  <c r="P18" i="2" s="1"/>
  <c r="Q18" i="2" s="1"/>
  <c r="I48" i="2"/>
  <c r="J48" i="2"/>
  <c r="K48" i="2"/>
  <c r="K18" i="2" s="1"/>
  <c r="L48" i="2"/>
  <c r="L18" i="2" s="1"/>
  <c r="H47" i="2"/>
  <c r="H17" i="2" s="1"/>
  <c r="I47" i="2"/>
  <c r="I17" i="2" s="1"/>
  <c r="J47" i="2"/>
  <c r="J17" i="2" s="1"/>
  <c r="K47" i="2"/>
  <c r="K17" i="2" s="1"/>
  <c r="L47" i="2"/>
  <c r="I46" i="2"/>
  <c r="J46" i="2"/>
  <c r="K46" i="2"/>
  <c r="L46" i="2"/>
  <c r="H46" i="2"/>
  <c r="H45" i="2"/>
  <c r="I45" i="2"/>
  <c r="J45" i="2"/>
  <c r="K45" i="2"/>
  <c r="L45" i="2"/>
  <c r="I37" i="2"/>
  <c r="J37" i="2"/>
  <c r="K37" i="2"/>
  <c r="L37" i="2"/>
  <c r="H37" i="2"/>
  <c r="H35" i="2"/>
  <c r="I35" i="2"/>
  <c r="I14" i="2" s="1"/>
  <c r="J35" i="2"/>
  <c r="J14" i="2" s="1"/>
  <c r="K35" i="2"/>
  <c r="K14" i="2" s="1"/>
  <c r="L35" i="2"/>
  <c r="L14" i="2" s="1"/>
  <c r="I34" i="2"/>
  <c r="I127" i="2" s="1"/>
  <c r="J34" i="2"/>
  <c r="J127" i="2" s="1"/>
  <c r="K34" i="2"/>
  <c r="K127" i="2" s="1"/>
  <c r="L34" i="2"/>
  <c r="L127" i="2" s="1"/>
  <c r="H34" i="2"/>
  <c r="H127" i="2" s="1"/>
  <c r="H32" i="2"/>
  <c r="I32" i="2"/>
  <c r="I12" i="2" s="1"/>
  <c r="J32" i="2"/>
  <c r="K32" i="2"/>
  <c r="L32" i="2"/>
  <c r="I30" i="2"/>
  <c r="I11" i="2" s="1"/>
  <c r="J30" i="2"/>
  <c r="J11" i="2" s="1"/>
  <c r="K30" i="2"/>
  <c r="K11" i="2" s="1"/>
  <c r="L30" i="2"/>
  <c r="L11" i="2" s="1"/>
  <c r="H30" i="2"/>
  <c r="H11" i="2" s="1"/>
  <c r="I29" i="2"/>
  <c r="J29" i="2"/>
  <c r="K29" i="2"/>
  <c r="L29" i="2"/>
  <c r="H29" i="2"/>
  <c r="I26" i="2"/>
  <c r="I9" i="2" s="1"/>
  <c r="J26" i="2"/>
  <c r="J9" i="2" s="1"/>
  <c r="K26" i="2"/>
  <c r="K9" i="2" s="1"/>
  <c r="L26" i="2"/>
  <c r="L9" i="2" s="1"/>
  <c r="H9" i="2"/>
  <c r="M9" i="2" s="1"/>
  <c r="H25" i="2"/>
  <c r="H14" i="2" s="1"/>
  <c r="I25" i="2"/>
  <c r="J8" i="2" s="1"/>
  <c r="J25" i="2"/>
  <c r="K25" i="2"/>
  <c r="L25" i="2"/>
  <c r="I2" i="2"/>
  <c r="J2" i="2" s="1"/>
  <c r="K2" i="2" s="1"/>
  <c r="L2" i="2" s="1"/>
  <c r="M2" i="2" s="1"/>
  <c r="N2" i="2" s="1"/>
  <c r="O2" i="2" s="1"/>
  <c r="P2" i="2" s="1"/>
  <c r="Q2" i="2" s="1"/>
  <c r="E22" i="4"/>
  <c r="G52" i="4"/>
  <c r="F52" i="4"/>
  <c r="D3" i="4"/>
  <c r="E3" i="4" s="1"/>
  <c r="F3" i="4" s="1"/>
  <c r="G3" i="4" s="1"/>
  <c r="C17" i="3"/>
  <c r="C19" i="3" s="1"/>
  <c r="D28" i="3"/>
  <c r="F25" i="3"/>
  <c r="G25" i="3"/>
  <c r="E25" i="3"/>
  <c r="D25" i="3"/>
  <c r="D16" i="3"/>
  <c r="D17" i="3" s="1"/>
  <c r="D19" i="3" s="1"/>
  <c r="D3" i="3"/>
  <c r="E3" i="3" s="1"/>
  <c r="F3" i="3" s="1"/>
  <c r="G3" i="3" s="1"/>
  <c r="D3" i="1"/>
  <c r="E3" i="1" s="1"/>
  <c r="F3" i="1" s="1"/>
  <c r="G3" i="1" s="1"/>
  <c r="Q119" i="2" l="1"/>
  <c r="M151" i="2" s="1"/>
  <c r="P35" i="2"/>
  <c r="P91" i="2" s="1"/>
  <c r="M29" i="2"/>
  <c r="P119" i="2"/>
  <c r="O35" i="2"/>
  <c r="O91" i="2" s="1"/>
  <c r="Q29" i="2"/>
  <c r="O119" i="2"/>
  <c r="N35" i="2"/>
  <c r="N91" i="2" s="1"/>
  <c r="P29" i="2"/>
  <c r="N119" i="2"/>
  <c r="O29" i="2"/>
  <c r="N29" i="2"/>
  <c r="M47" i="2"/>
  <c r="M30" i="2"/>
  <c r="Q47" i="2"/>
  <c r="Q30" i="2"/>
  <c r="P47" i="2"/>
  <c r="Q111" i="2" s="1"/>
  <c r="P30" i="2"/>
  <c r="O47" i="2"/>
  <c r="P111" i="2" s="1"/>
  <c r="O30" i="2"/>
  <c r="N47" i="2"/>
  <c r="O111" i="2" s="1"/>
  <c r="N30" i="2"/>
  <c r="M119" i="2"/>
  <c r="M35" i="2"/>
  <c r="M91" i="2" s="1"/>
  <c r="Q87" i="2"/>
  <c r="Q93" i="2" s="1"/>
  <c r="N9" i="2"/>
  <c r="M26" i="2"/>
  <c r="N124" i="2"/>
  <c r="N126" i="2" s="1"/>
  <c r="I13" i="2"/>
  <c r="I8" i="2"/>
  <c r="I10" i="2"/>
  <c r="L19" i="2"/>
  <c r="H10" i="2"/>
  <c r="K13" i="2"/>
  <c r="K19" i="2"/>
  <c r="H115" i="2"/>
  <c r="H83" i="2" s="1"/>
  <c r="H84" i="2" s="1"/>
  <c r="I100" i="2"/>
  <c r="K115" i="2"/>
  <c r="K83" i="2" s="1"/>
  <c r="K84" i="2" s="1"/>
  <c r="K27" i="2"/>
  <c r="K31" i="2" s="1"/>
  <c r="K33" i="2" s="1"/>
  <c r="K36" i="2" s="1"/>
  <c r="I69" i="2"/>
  <c r="L115" i="2"/>
  <c r="L83" i="2" s="1"/>
  <c r="L84" i="2" s="1"/>
  <c r="J27" i="2"/>
  <c r="J31" i="2" s="1"/>
  <c r="J33" i="2" s="1"/>
  <c r="J36" i="2" s="1"/>
  <c r="I27" i="2"/>
  <c r="I31" i="2" s="1"/>
  <c r="I33" i="2" s="1"/>
  <c r="I36" i="2" s="1"/>
  <c r="I38" i="2" s="1"/>
  <c r="I16" i="2" s="1"/>
  <c r="H100" i="2"/>
  <c r="H65" i="2"/>
  <c r="L27" i="2"/>
  <c r="L31" i="2" s="1"/>
  <c r="L33" i="2" s="1"/>
  <c r="L36" i="2" s="1"/>
  <c r="I115" i="2"/>
  <c r="I83" i="2" s="1"/>
  <c r="I84" i="2" s="1"/>
  <c r="L100" i="2"/>
  <c r="J100" i="2"/>
  <c r="K56" i="2"/>
  <c r="K69" i="2"/>
  <c r="L93" i="2"/>
  <c r="K100" i="2"/>
  <c r="L69" i="2"/>
  <c r="H27" i="2"/>
  <c r="H31" i="2" s="1"/>
  <c r="H33" i="2" s="1"/>
  <c r="H36" i="2" s="1"/>
  <c r="H38" i="2" s="1"/>
  <c r="H16" i="2" s="1"/>
  <c r="M16" i="2" s="1"/>
  <c r="N16" i="2" s="1"/>
  <c r="O16" i="2" s="1"/>
  <c r="P16" i="2" s="1"/>
  <c r="Q16" i="2" s="1"/>
  <c r="J69" i="2"/>
  <c r="K93" i="2"/>
  <c r="J93" i="2"/>
  <c r="H69" i="2"/>
  <c r="I93" i="2"/>
  <c r="H93" i="2"/>
  <c r="J115" i="2"/>
  <c r="J83" i="2" s="1"/>
  <c r="J84" i="2" s="1"/>
  <c r="I119" i="2"/>
  <c r="I125" i="2"/>
  <c r="J124" i="2"/>
  <c r="J125" i="2" s="1"/>
  <c r="K125" i="2"/>
  <c r="L124" i="2"/>
  <c r="J65" i="2"/>
  <c r="J71" i="2" s="1"/>
  <c r="L118" i="2"/>
  <c r="L119" i="2" s="1"/>
  <c r="I65" i="2"/>
  <c r="I71" i="2" s="1"/>
  <c r="K118" i="2"/>
  <c r="L56" i="2"/>
  <c r="J56" i="2"/>
  <c r="I56" i="2"/>
  <c r="L65" i="2"/>
  <c r="K65" i="2"/>
  <c r="K71" i="2" s="1"/>
  <c r="H56" i="2"/>
  <c r="H73" i="2" s="1"/>
  <c r="J151" i="2" l="1"/>
  <c r="N87" i="2"/>
  <c r="N93" i="2" s="1"/>
  <c r="K151" i="2"/>
  <c r="O87" i="2"/>
  <c r="O93" i="2" s="1"/>
  <c r="L151" i="2"/>
  <c r="P87" i="2"/>
  <c r="P93" i="2" s="1"/>
  <c r="N111" i="2"/>
  <c r="M111" i="2"/>
  <c r="I151" i="2"/>
  <c r="M87" i="2"/>
  <c r="M93" i="2" s="1"/>
  <c r="M82" i="2"/>
  <c r="M48" i="2"/>
  <c r="M27" i="2"/>
  <c r="M31" i="2" s="1"/>
  <c r="M60" i="2"/>
  <c r="N26" i="2"/>
  <c r="O9" i="2"/>
  <c r="N127" i="2"/>
  <c r="N34" i="2" s="1"/>
  <c r="N82" i="2" s="1"/>
  <c r="O124" i="2"/>
  <c r="O126" i="2" s="1"/>
  <c r="N63" i="2"/>
  <c r="L38" i="2"/>
  <c r="L16" i="2" s="1"/>
  <c r="L15" i="2"/>
  <c r="L125" i="2"/>
  <c r="L13" i="2"/>
  <c r="J38" i="2"/>
  <c r="J16" i="2" s="1"/>
  <c r="J15" i="2"/>
  <c r="K38" i="2"/>
  <c r="K16" i="2" s="1"/>
  <c r="K15" i="2"/>
  <c r="H15" i="2"/>
  <c r="M15" i="2" s="1"/>
  <c r="N15" i="2" s="1"/>
  <c r="O15" i="2" s="1"/>
  <c r="P15" i="2" s="1"/>
  <c r="Q15" i="2" s="1"/>
  <c r="L12" i="2"/>
  <c r="K119" i="2"/>
  <c r="K12" i="2"/>
  <c r="M12" i="2" s="1"/>
  <c r="H71" i="2"/>
  <c r="J13" i="2"/>
  <c r="I15" i="2"/>
  <c r="I102" i="2"/>
  <c r="I104" i="2" s="1"/>
  <c r="I3" i="2"/>
  <c r="J3" i="2"/>
  <c r="L102" i="2"/>
  <c r="L104" i="2" s="1"/>
  <c r="K3" i="2"/>
  <c r="L71" i="2"/>
  <c r="K102" i="2"/>
  <c r="K104" i="2" s="1"/>
  <c r="J102" i="2"/>
  <c r="J104" i="2" s="1"/>
  <c r="L3" i="2"/>
  <c r="H102" i="2"/>
  <c r="H104" i="2" s="1"/>
  <c r="H3" i="2"/>
  <c r="O26" i="2" l="1"/>
  <c r="P9" i="2"/>
  <c r="N48" i="2"/>
  <c r="N60" i="2"/>
  <c r="N113" i="2" s="1"/>
  <c r="N27" i="2"/>
  <c r="N31" i="2" s="1"/>
  <c r="M65" i="2"/>
  <c r="M113" i="2"/>
  <c r="N112" i="2"/>
  <c r="N115" i="2" s="1"/>
  <c r="M112" i="2"/>
  <c r="M115" i="2" s="1"/>
  <c r="O127" i="2"/>
  <c r="O34" i="2" s="1"/>
  <c r="O82" i="2" s="1"/>
  <c r="O63" i="2"/>
  <c r="P124" i="2"/>
  <c r="P126" i="2" s="1"/>
  <c r="N12" i="2"/>
  <c r="O12" i="2" s="1"/>
  <c r="P12" i="2" s="1"/>
  <c r="Q12" i="2" s="1"/>
  <c r="M120" i="2"/>
  <c r="M121" i="2" s="1"/>
  <c r="M83" i="2" l="1"/>
  <c r="I152" i="2"/>
  <c r="N83" i="2"/>
  <c r="J152" i="2"/>
  <c r="P26" i="2"/>
  <c r="Q9" i="2"/>
  <c r="Q26" i="2" s="1"/>
  <c r="O27" i="2"/>
  <c r="O31" i="2" s="1"/>
  <c r="O48" i="2"/>
  <c r="O60" i="2"/>
  <c r="O113" i="2" s="1"/>
  <c r="N65" i="2"/>
  <c r="M32" i="2"/>
  <c r="P127" i="2"/>
  <c r="P34" i="2" s="1"/>
  <c r="P82" i="2" s="1"/>
  <c r="P63" i="2"/>
  <c r="Q124" i="2"/>
  <c r="Q126" i="2" s="1"/>
  <c r="Q48" i="2" l="1"/>
  <c r="Q27" i="2"/>
  <c r="Q31" i="2" s="1"/>
  <c r="Q60" i="2"/>
  <c r="P48" i="2"/>
  <c r="Q112" i="2" s="1"/>
  <c r="P27" i="2"/>
  <c r="P31" i="2" s="1"/>
  <c r="P60" i="2"/>
  <c r="P113" i="2" s="1"/>
  <c r="O112" i="2"/>
  <c r="O115" i="2" s="1"/>
  <c r="O65" i="2"/>
  <c r="Q127" i="2"/>
  <c r="Q34" i="2" s="1"/>
  <c r="Q82" i="2" s="1"/>
  <c r="Q63" i="2"/>
  <c r="Q65" i="2" s="1"/>
  <c r="M81" i="2"/>
  <c r="M33" i="2"/>
  <c r="O83" i="2" l="1"/>
  <c r="K152" i="2"/>
  <c r="M36" i="2"/>
  <c r="I147" i="2"/>
  <c r="Q113" i="2"/>
  <c r="Q115" i="2" s="1"/>
  <c r="P112" i="2"/>
  <c r="P115" i="2" s="1"/>
  <c r="P65" i="2"/>
  <c r="M37" i="2"/>
  <c r="M38" i="2" s="1"/>
  <c r="P83" i="2" l="1"/>
  <c r="L152" i="2"/>
  <c r="Q83" i="2"/>
  <c r="M152" i="2"/>
  <c r="I148" i="2"/>
  <c r="I149" i="2" s="1"/>
  <c r="I153" i="2" s="1"/>
  <c r="I155" i="2" s="1"/>
  <c r="M98" i="2"/>
  <c r="M100" i="2" s="1"/>
  <c r="M80" i="2"/>
  <c r="M84" i="2" s="1"/>
  <c r="M102" i="2" s="1"/>
  <c r="M104" i="2" s="1"/>
  <c r="N103" i="2" l="1"/>
  <c r="M45" i="2"/>
  <c r="M68" i="2"/>
  <c r="M69" i="2"/>
  <c r="M71" i="2" s="1"/>
  <c r="N118" i="2"/>
  <c r="N120" i="2"/>
  <c r="N32" i="2"/>
  <c r="N33" i="2" s="1"/>
  <c r="M52" i="2"/>
  <c r="M56" i="2" s="1"/>
  <c r="N36" i="2" l="1"/>
  <c r="J147" i="2"/>
  <c r="M73" i="2"/>
  <c r="M3" i="2" s="1"/>
  <c r="N81" i="2"/>
  <c r="J150" i="2" s="1"/>
  <c r="N37" i="2"/>
  <c r="N38" i="2" s="1"/>
  <c r="N98" i="2" s="1"/>
  <c r="N100" i="2" s="1"/>
  <c r="N121" i="2"/>
  <c r="J148" i="2" l="1"/>
  <c r="J149" i="2"/>
  <c r="J153" i="2" s="1"/>
  <c r="J155" i="2" s="1"/>
  <c r="R143" i="11"/>
  <c r="N68" i="2"/>
  <c r="N80" i="2"/>
  <c r="N84" i="2" s="1"/>
  <c r="N102" i="2" s="1"/>
  <c r="N104" i="2" s="1"/>
  <c r="N52" i="2"/>
  <c r="O118" i="2"/>
  <c r="R144" i="11" l="1"/>
  <c r="R145" i="11"/>
  <c r="O103" i="2"/>
  <c r="N45" i="2"/>
  <c r="N56" i="2" s="1"/>
  <c r="N69" i="2"/>
  <c r="N71" i="2" s="1"/>
  <c r="O120" i="2"/>
  <c r="O32" i="2" s="1"/>
  <c r="N73" i="2" l="1"/>
  <c r="N3" i="2" s="1"/>
  <c r="O33" i="2"/>
  <c r="O81" i="2"/>
  <c r="K150" i="2" s="1"/>
  <c r="O121" i="2"/>
  <c r="O36" i="2" l="1"/>
  <c r="K147" i="2"/>
  <c r="O52" i="2"/>
  <c r="P118" i="2"/>
  <c r="O37" i="2"/>
  <c r="O38" i="2" s="1"/>
  <c r="K148" i="2" l="1"/>
  <c r="K149" i="2"/>
  <c r="K153" i="2" s="1"/>
  <c r="K155" i="2" s="1"/>
  <c r="O98" i="2"/>
  <c r="O100" i="2" s="1"/>
  <c r="O68" i="2"/>
  <c r="O80" i="2"/>
  <c r="O84" i="2" s="1"/>
  <c r="O102" i="2" s="1"/>
  <c r="O104" i="2" s="1"/>
  <c r="P120" i="2"/>
  <c r="P32" i="2" s="1"/>
  <c r="P103" i="2" l="1"/>
  <c r="O45" i="2"/>
  <c r="O56" i="2" s="1"/>
  <c r="P33" i="2"/>
  <c r="P81" i="2"/>
  <c r="L150" i="2" s="1"/>
  <c r="P121" i="2"/>
  <c r="O69" i="2"/>
  <c r="O71" i="2" s="1"/>
  <c r="O73" i="2" s="1"/>
  <c r="O3" i="2" s="1"/>
  <c r="P36" i="2" l="1"/>
  <c r="L147" i="2"/>
  <c r="Q118" i="2"/>
  <c r="P52" i="2"/>
  <c r="P37" i="2"/>
  <c r="P38" i="2" s="1"/>
  <c r="L148" i="2" l="1"/>
  <c r="L149" i="2"/>
  <c r="L153" i="2" s="1"/>
  <c r="L155" i="2" s="1"/>
  <c r="P98" i="2"/>
  <c r="P100" i="2" s="1"/>
  <c r="P68" i="2"/>
  <c r="P80" i="2"/>
  <c r="P84" i="2" s="1"/>
  <c r="P102" i="2" s="1"/>
  <c r="P104" i="2" s="1"/>
  <c r="Q120" i="2"/>
  <c r="Q32" i="2" s="1"/>
  <c r="Q103" i="2" l="1"/>
  <c r="P45" i="2"/>
  <c r="P56" i="2" s="1"/>
  <c r="Q81" i="2"/>
  <c r="M150" i="2" s="1"/>
  <c r="Q33" i="2"/>
  <c r="Q121" i="2"/>
  <c r="Q52" i="2" s="1"/>
  <c r="P69" i="2"/>
  <c r="P71" i="2" s="1"/>
  <c r="P73" i="2" s="1"/>
  <c r="P3" i="2" s="1"/>
  <c r="Q36" i="2" l="1"/>
  <c r="M147" i="2"/>
  <c r="Q37" i="2"/>
  <c r="Q38" i="2" s="1"/>
  <c r="M148" i="2" l="1"/>
  <c r="M149" i="2" s="1"/>
  <c r="M153" i="2" s="1"/>
  <c r="R143" i="2"/>
  <c r="Q98" i="2"/>
  <c r="Q100" i="2" s="1"/>
  <c r="Q68" i="2"/>
  <c r="Q80" i="2"/>
  <c r="Q84" i="2" s="1"/>
  <c r="Q102" i="2" s="1"/>
  <c r="Q104" i="2" s="1"/>
  <c r="Q45" i="2" s="1"/>
  <c r="Q56" i="2" s="1"/>
  <c r="Q69" i="2"/>
  <c r="Q71" i="2" s="1"/>
  <c r="M155" i="2" l="1"/>
  <c r="R144" i="2"/>
  <c r="R145" i="2" s="1"/>
  <c r="N153" i="2" s="1"/>
  <c r="N155" i="2" s="1"/>
  <c r="F161" i="2" s="1"/>
  <c r="F165" i="2" s="1"/>
  <c r="F167" i="2" s="1"/>
  <c r="Q73" i="2"/>
  <c r="Q3" i="2" s="1"/>
  <c r="I183" i="2" l="1"/>
  <c r="I174" i="2"/>
  <c r="O162" i="2"/>
  <c r="O163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<sst xmlns="http://schemas.openxmlformats.org/spreadsheetml/2006/main" count="3063" uniqueCount="407">
  <si>
    <t>ASSETS</t>
  </si>
  <si>
    <t>Non-current assets</t>
  </si>
  <si>
    <t>(i) Investments</t>
  </si>
  <si>
    <t>(ii) Loans</t>
  </si>
  <si>
    <t>(iii) Other financial assets</t>
  </si>
  <si>
    <t>Total non-current assets</t>
  </si>
  <si>
    <t>Current assets</t>
  </si>
  <si>
    <t>(ii) Trade receivables</t>
  </si>
  <si>
    <t>(iii) Cash and cash equivalents</t>
  </si>
  <si>
    <t>(iv) Bank balances other than (iii) above</t>
  </si>
  <si>
    <t>(v) Loans</t>
  </si>
  <si>
    <t>(vi) Other financial assets</t>
  </si>
  <si>
    <t>Total current assets</t>
  </si>
  <si>
    <t>TOTAL ASSETS</t>
  </si>
  <si>
    <t>a</t>
  </si>
  <si>
    <t>b</t>
  </si>
  <si>
    <t>c</t>
  </si>
  <si>
    <t>d</t>
  </si>
  <si>
    <t>e</t>
  </si>
  <si>
    <t>g</t>
  </si>
  <si>
    <t>i</t>
  </si>
  <si>
    <t>j</t>
  </si>
  <si>
    <t>f</t>
  </si>
  <si>
    <t xml:space="preserve"> Property, plant and equipment</t>
  </si>
  <si>
    <t>Right of use assets</t>
  </si>
  <si>
    <t>Capital work in progress</t>
  </si>
  <si>
    <t>Goodwill</t>
  </si>
  <si>
    <t>Other intangible assets</t>
  </si>
  <si>
    <t>Intangible assets under development</t>
  </si>
  <si>
    <t>Financial assets</t>
  </si>
  <si>
    <t>h</t>
  </si>
  <si>
    <t>Deferred tax assets (net)</t>
  </si>
  <si>
    <t>Non-current tax assets (net)</t>
  </si>
  <si>
    <t>Other non-current assets</t>
  </si>
  <si>
    <t>Other current assets</t>
  </si>
  <si>
    <t>Non-current assets held for sale</t>
  </si>
  <si>
    <t>Inventories</t>
  </si>
  <si>
    <t>II. EQUITY AND LIABILITIES</t>
  </si>
  <si>
    <t>(a) Equity share capital</t>
  </si>
  <si>
    <t>(b) Other equity</t>
  </si>
  <si>
    <t>Equity attributable to owners of the Company</t>
  </si>
  <si>
    <t>(c) Non-controlling interest</t>
  </si>
  <si>
    <t>Total Equity</t>
  </si>
  <si>
    <t>2 Liabilities</t>
  </si>
  <si>
    <t>2a Non-current liabilities</t>
  </si>
  <si>
    <t>(a) Financial liabilities</t>
  </si>
  <si>
    <t>(i) Borrowings</t>
  </si>
  <si>
    <t>(ia) Lease liabilities</t>
  </si>
  <si>
    <t>(ii) Other financial liabilities</t>
  </si>
  <si>
    <t>Total non-current liabilities</t>
  </si>
  <si>
    <t>(ii) Trade payables</t>
  </si>
  <si>
    <t>Total outstanding dues of micro enterprises and small enterprises</t>
  </si>
  <si>
    <t>Total outstanding dues of creditors other than micro and small enterprises</t>
  </si>
  <si>
    <t>(iii) Other financial liabilities</t>
  </si>
  <si>
    <t>Total current liabilities</t>
  </si>
  <si>
    <t>Total liabilities</t>
  </si>
  <si>
    <t>TOTAL EQUITY AND LIABILITIES</t>
  </si>
  <si>
    <t>I.</t>
  </si>
  <si>
    <t>II.</t>
  </si>
  <si>
    <t>Equity</t>
  </si>
  <si>
    <t>2a</t>
  </si>
  <si>
    <t>Provisions</t>
  </si>
  <si>
    <t>Other non-current liabilities</t>
  </si>
  <si>
    <t>2b</t>
  </si>
  <si>
    <t>Current liabilities</t>
  </si>
  <si>
    <t>Other current liabilities</t>
  </si>
  <si>
    <t>Current tax liabilities (net)</t>
  </si>
  <si>
    <t>Financial liabilities</t>
  </si>
  <si>
    <t>-</t>
  </si>
  <si>
    <t>Goodwill on Consolidation</t>
  </si>
  <si>
    <t>k</t>
  </si>
  <si>
    <t>Deferred tax liabilities (net)</t>
  </si>
  <si>
    <t>Alkem Laboratories Ltd.</t>
  </si>
  <si>
    <t>Income</t>
  </si>
  <si>
    <t>Total income</t>
  </si>
  <si>
    <t>Expenses</t>
  </si>
  <si>
    <t>Total expenses</t>
  </si>
  <si>
    <t>Revenue from operations</t>
  </si>
  <si>
    <t>Other income</t>
  </si>
  <si>
    <t>Cost of materials consumed</t>
  </si>
  <si>
    <t>Purchases of stock-in-trade</t>
  </si>
  <si>
    <t>Employee benefits expense</t>
  </si>
  <si>
    <t>Finance costs</t>
  </si>
  <si>
    <t>Depreciation and amortisation expense</t>
  </si>
  <si>
    <t>Other expenses</t>
  </si>
  <si>
    <t>Profit before exceptional items and tax (1) - (2)</t>
  </si>
  <si>
    <t>Exceptional items</t>
  </si>
  <si>
    <t>Profit before tax (3) + (4)</t>
  </si>
  <si>
    <t>Tax expense</t>
  </si>
  <si>
    <t>Total tax expenses (a + b)</t>
  </si>
  <si>
    <t>Profit for the year (5) - (6)</t>
  </si>
  <si>
    <t>Profit attributable to Non-Controlling Interest</t>
  </si>
  <si>
    <t>Profit attributable to Owners of the Company (7) - (8)</t>
  </si>
  <si>
    <t>Other comprehensive income</t>
  </si>
  <si>
    <t>(ii) Income tax relating to items that will be reclassified to profit or loss</t>
  </si>
  <si>
    <t>Total of Other Comprehensive Income/(Loss) for the year, net of tax</t>
  </si>
  <si>
    <t>Total Comprehensive Income for the year (7) + (10)</t>
  </si>
  <si>
    <t>(i) Items that will not be reclassified subsequently to profit or loss</t>
  </si>
  <si>
    <t>(i) Items that will be reclassified to profit or loss</t>
  </si>
  <si>
    <t>Current tax</t>
  </si>
  <si>
    <t>Deferred tax charge/(credit) (net)</t>
  </si>
  <si>
    <t>Earnings per share (in₹): Face value of ₹ 2 each</t>
  </si>
  <si>
    <t>Changes in inventories of finished goods, work-in-progress and stock-in-trade</t>
  </si>
  <si>
    <t>(ii) Income tax relating to items that will not be reclassified to profit or loss</t>
  </si>
  <si>
    <t>Other Comprehensive Income/(Loss) attributable to Non-Controlling Interest</t>
  </si>
  <si>
    <t>Other Comprehensive Income/(Loss) attributable to Owners of the Company (10) - (11)</t>
  </si>
  <si>
    <t>Total Comprehensive Income/(Loss) attributable to Non-Controlling Interest (8) + (11)</t>
  </si>
  <si>
    <t>Total Comprehensive Income/(Loss) attributable to Owners of the Company (13) - (14)</t>
  </si>
  <si>
    <t>Basic and diluted earnings per share</t>
  </si>
  <si>
    <t>Tax adjustment of earlier periods</t>
  </si>
  <si>
    <t>Total tax expenses (a + b + c)</t>
  </si>
  <si>
    <t>Cash Flow from Operating Activities:</t>
  </si>
  <si>
    <t>Profit before tax</t>
  </si>
  <si>
    <t>Adjustments for:</t>
  </si>
  <si>
    <t>Liabilities no longer required written back</t>
  </si>
  <si>
    <t>Profit on sale of investments</t>
  </si>
  <si>
    <t>Unrealised (gain) / loss on fair valuation of investments (net)</t>
  </si>
  <si>
    <t>Profit on sale of property plant and equipment (net)</t>
  </si>
  <si>
    <t>Unrealised foreign currency (gain) / loss on revaluation (net)</t>
  </si>
  <si>
    <t>Dividend Income</t>
  </si>
  <si>
    <t>Impairment loss on property, plant and equipment</t>
  </si>
  <si>
    <t>Interest Income</t>
  </si>
  <si>
    <t>Interest expenses</t>
  </si>
  <si>
    <t>Allowances for doubtful debts</t>
  </si>
  <si>
    <t>Subtotal of Adjustments</t>
  </si>
  <si>
    <t>Operating profit before working capital changes</t>
  </si>
  <si>
    <t>Adjustments for changes in working capital:</t>
  </si>
  <si>
    <t>(Increase) in trade receivables</t>
  </si>
  <si>
    <t>(Increase) / Decrease in loans, other financial assets and other assets</t>
  </si>
  <si>
    <t>(Increase) Decrease in inventories</t>
  </si>
  <si>
    <t>Increase / (Decrease) in trade payable, other financial liabilities and other liabilities</t>
  </si>
  <si>
    <t>Increase in provisions</t>
  </si>
  <si>
    <t>Subtotal of adjustments</t>
  </si>
  <si>
    <t>A.</t>
  </si>
  <si>
    <t>D.</t>
  </si>
  <si>
    <t>E.</t>
  </si>
  <si>
    <t>Cash generated from operations</t>
  </si>
  <si>
    <t>Less: Income taxes paid (net of refund)</t>
  </si>
  <si>
    <t>Net Cash generated from operating activities</t>
  </si>
  <si>
    <t>Cash Flow from Investing Activities:</t>
  </si>
  <si>
    <t>Purchases of property, plant and equipment</t>
  </si>
  <si>
    <t>Sale of property, plant and equipment</t>
  </si>
  <si>
    <t>(Purchase of) / Proceeds from sale of investments (net)</t>
  </si>
  <si>
    <t>Dividend received</t>
  </si>
  <si>
    <t>Interest received</t>
  </si>
  <si>
    <t>Net cash generated from / (used in) investing activities</t>
  </si>
  <si>
    <t>Cash Flow from Financing Activities:</t>
  </si>
  <si>
    <t>Repayment of non-current borrowings (net)</t>
  </si>
  <si>
    <t>Proceeds from current borrowings (net)</t>
  </si>
  <si>
    <t>Proceeds from issue of compulsory convertible preferance shares</t>
  </si>
  <si>
    <t>Dividends paid</t>
  </si>
  <si>
    <t>Repayment of lease liabilities (net)</t>
  </si>
  <si>
    <t>Interest paid</t>
  </si>
  <si>
    <t>Net cash (used in)/generated from financing activities</t>
  </si>
  <si>
    <t>Net (decrease)/increase in cash and cash equivalents (A+B+C)</t>
  </si>
  <si>
    <t>Cash and cash equivalents as at beginning of the year</t>
  </si>
  <si>
    <t>(Investment made in) / Redemption of bank deposits having maturity of more than 3 months (net)</t>
  </si>
  <si>
    <t>Add/Less: Effect of exchange difference on foreign currency cash and cash equivalents</t>
  </si>
  <si>
    <t xml:space="preserve">Cash and cash equivalents as at end of the year (D+E) </t>
  </si>
  <si>
    <t>B.</t>
  </si>
  <si>
    <t>C.</t>
  </si>
  <si>
    <t>F.</t>
  </si>
  <si>
    <t>Employee stock compensation expenses</t>
  </si>
  <si>
    <t>Rent income</t>
  </si>
  <si>
    <t>Rent received</t>
  </si>
  <si>
    <t>Recovery of Bad debts</t>
  </si>
  <si>
    <t>Profit on sale of brand (net)</t>
  </si>
  <si>
    <t>Financial Statement &amp; DCF Analysis</t>
  </si>
  <si>
    <t>Alkem Laboratories LTD</t>
  </si>
  <si>
    <t>Historical Period</t>
  </si>
  <si>
    <t>Forecasting Period</t>
  </si>
  <si>
    <t>Income Statement</t>
  </si>
  <si>
    <t>Revenue</t>
  </si>
  <si>
    <t>₹ in MM</t>
  </si>
  <si>
    <t>Cost of Good Solds (COGS)</t>
  </si>
  <si>
    <t>Gross Profit</t>
  </si>
  <si>
    <t>Salaries &amp; Benefits</t>
  </si>
  <si>
    <t>EBITDA</t>
  </si>
  <si>
    <t>Other SG&amp;A Expenses</t>
  </si>
  <si>
    <t xml:space="preserve">Depreciation &amp; Amortization Expenses </t>
  </si>
  <si>
    <t>EBIT</t>
  </si>
  <si>
    <t>Interest</t>
  </si>
  <si>
    <t>Other Income (Expenses)</t>
  </si>
  <si>
    <t>Earning Before Tax</t>
  </si>
  <si>
    <t>Taxes</t>
  </si>
  <si>
    <t>Net Earing</t>
  </si>
  <si>
    <t>Asset</t>
  </si>
  <si>
    <t>Current Asset :</t>
  </si>
  <si>
    <t>Cash</t>
  </si>
  <si>
    <t>Bank Deposits</t>
  </si>
  <si>
    <t>Account Receivable</t>
  </si>
  <si>
    <t>Inventory</t>
  </si>
  <si>
    <t>Other Current Assets</t>
  </si>
  <si>
    <t>Non Current Assets :</t>
  </si>
  <si>
    <t>Property &amp; equipment</t>
  </si>
  <si>
    <t>Godwill</t>
  </si>
  <si>
    <t>Financial Assets</t>
  </si>
  <si>
    <t>Other Non Current Assets</t>
  </si>
  <si>
    <t>Total Assets</t>
  </si>
  <si>
    <t>Liabilities</t>
  </si>
  <si>
    <t>Current Liabilities :</t>
  </si>
  <si>
    <t>Account Payable</t>
  </si>
  <si>
    <t>Other Current Liabilities</t>
  </si>
  <si>
    <t>Non- Current Liabilities</t>
  </si>
  <si>
    <t>Debt</t>
  </si>
  <si>
    <t>Other Non Current Liabilities</t>
  </si>
  <si>
    <t>Total Liabilities</t>
  </si>
  <si>
    <t>Shareholder Equity</t>
  </si>
  <si>
    <t>Equity Capital</t>
  </si>
  <si>
    <t>Retained Earning</t>
  </si>
  <si>
    <t>Total Shareholder Equity</t>
  </si>
  <si>
    <t>Non- Controlling Interest</t>
  </si>
  <si>
    <t>Total Liabilities &amp; Shareholder Equity</t>
  </si>
  <si>
    <t>Check</t>
  </si>
  <si>
    <t>Master check</t>
  </si>
  <si>
    <t>Balance Sheet</t>
  </si>
  <si>
    <t>Cash Flow Statement</t>
  </si>
  <si>
    <t>Operating Cash Flow</t>
  </si>
  <si>
    <t>Net Earings</t>
  </si>
  <si>
    <t>Plus: Depreciation &amp; Amortization</t>
  </si>
  <si>
    <t>Plus/Less : Adjustment for non-operating item</t>
  </si>
  <si>
    <t>Plus/Less : Adjustment for operating Asset &amp; liabities</t>
  </si>
  <si>
    <t>Cash From Operation</t>
  </si>
  <si>
    <t>Investing Cash Flow</t>
  </si>
  <si>
    <t>Investment in Property &amp; Equipnment</t>
  </si>
  <si>
    <t>Sale of Property, Plant and Equipnment</t>
  </si>
  <si>
    <t>Net Proceed from sale of Investment</t>
  </si>
  <si>
    <t>Cash From Investing</t>
  </si>
  <si>
    <t>Financing cash Flow</t>
  </si>
  <si>
    <t>Issuance(Repayment) of Debt</t>
  </si>
  <si>
    <t>Issuance(Repayment) of Preferrance Share - NCI</t>
  </si>
  <si>
    <t>Dividend Paid</t>
  </si>
  <si>
    <t>Interest Paid</t>
  </si>
  <si>
    <t>Cash From Financing</t>
  </si>
  <si>
    <t>Net Increase (Decrease) in Cash</t>
  </si>
  <si>
    <t>Opening Cash Balance</t>
  </si>
  <si>
    <t>Closing Balance</t>
  </si>
  <si>
    <t>Supporting Schedule</t>
  </si>
  <si>
    <t>Working Capital</t>
  </si>
  <si>
    <t>Account Recievable</t>
  </si>
  <si>
    <t>Others</t>
  </si>
  <si>
    <t>Total</t>
  </si>
  <si>
    <t>Depreciation</t>
  </si>
  <si>
    <t>Plus Capex</t>
  </si>
  <si>
    <t>Less Depreciation</t>
  </si>
  <si>
    <t>PPE Opening</t>
  </si>
  <si>
    <t>PPE Closing</t>
  </si>
  <si>
    <t>Debt &amp; Interest Schedule</t>
  </si>
  <si>
    <t>Debt Opening</t>
  </si>
  <si>
    <t>Issuance(Repayement)</t>
  </si>
  <si>
    <t>Debt Closing</t>
  </si>
  <si>
    <t>Interest Expenses</t>
  </si>
  <si>
    <t>Ratio &amp; Assumptions</t>
  </si>
  <si>
    <t>Units</t>
  </si>
  <si>
    <t>Revenue Growth Rate</t>
  </si>
  <si>
    <t>COGS (% of Revenue)</t>
  </si>
  <si>
    <t>Salary (% of Revenue)</t>
  </si>
  <si>
    <t>%</t>
  </si>
  <si>
    <t>Other SG&amp;A (% of Revenue)</t>
  </si>
  <si>
    <t>Depreciation &amp; Amortization (% of PPE)</t>
  </si>
  <si>
    <t>Interest (% of debt)</t>
  </si>
  <si>
    <t>Other Income (Expenses)(% of Revenue)</t>
  </si>
  <si>
    <t>Taxes Rate (% of Earning Before Tax)</t>
  </si>
  <si>
    <t xml:space="preserve">Divident Payout Ratio </t>
  </si>
  <si>
    <t>Days</t>
  </si>
  <si>
    <t>Capital Asset Turnover Ratio</t>
  </si>
  <si>
    <t>Times</t>
  </si>
  <si>
    <t>Scenarios</t>
  </si>
  <si>
    <t>Base Case</t>
  </si>
  <si>
    <t>Bull Case</t>
  </si>
  <si>
    <t>Bear Case</t>
  </si>
  <si>
    <t>Growth (%)</t>
  </si>
  <si>
    <t>Annual Growth Tampering</t>
  </si>
  <si>
    <t>Scenario</t>
  </si>
  <si>
    <t>Company</t>
  </si>
  <si>
    <t>Ticker</t>
  </si>
  <si>
    <t>Price</t>
  </si>
  <si>
    <t>Shares</t>
  </si>
  <si>
    <t>Sales</t>
  </si>
  <si>
    <t>Alkem Laboratories Limited</t>
  </si>
  <si>
    <t>ALKEM</t>
  </si>
  <si>
    <t>Dr. Reddy's Laboratories Limited</t>
  </si>
  <si>
    <t>Zydus Lifesciences Limited</t>
  </si>
  <si>
    <t>ZYDUSLIFE</t>
  </si>
  <si>
    <t>Torrent Pharmaceuticals Limited</t>
  </si>
  <si>
    <t>Mankind Pharma Limited</t>
  </si>
  <si>
    <t>MANKIND</t>
  </si>
  <si>
    <t>Lupin Limited</t>
  </si>
  <si>
    <t>Aurobindo Pharma Limited</t>
  </si>
  <si>
    <t>AUROPHARMA</t>
  </si>
  <si>
    <t>Abbott India Limited</t>
  </si>
  <si>
    <t>GlaxoSmithKline Pharmaceuticals Limited</t>
  </si>
  <si>
    <t>Ipca Laboratories Limited</t>
  </si>
  <si>
    <t>IPCALAB</t>
  </si>
  <si>
    <t>Gland Pharma Limited</t>
  </si>
  <si>
    <t>GLAND</t>
  </si>
  <si>
    <t>M</t>
  </si>
  <si>
    <t>₹ MM</t>
  </si>
  <si>
    <r>
      <t>(</t>
    </r>
    <r>
      <rPr>
        <sz val="12"/>
        <color theme="0"/>
        <rFont val="Calibri"/>
        <family val="2"/>
      </rPr>
      <t>₹</t>
    </r>
    <r>
      <rPr>
        <sz val="12"/>
        <color theme="0"/>
        <rFont val="Book Antiqua"/>
        <family val="1"/>
      </rPr>
      <t>/Share)</t>
    </r>
  </si>
  <si>
    <t>Market Cap</t>
  </si>
  <si>
    <t>EV</t>
  </si>
  <si>
    <t>Market Data</t>
  </si>
  <si>
    <t>Financial Data</t>
  </si>
  <si>
    <t>Earning</t>
  </si>
  <si>
    <t>Valuation</t>
  </si>
  <si>
    <t>Ev/Sale</t>
  </si>
  <si>
    <t>Ev/EBITDA</t>
  </si>
  <si>
    <t>P/E</t>
  </si>
  <si>
    <t>x</t>
  </si>
  <si>
    <t>Average</t>
  </si>
  <si>
    <t>Median</t>
  </si>
  <si>
    <t>Metric</t>
  </si>
  <si>
    <t>EV/Revenue</t>
  </si>
  <si>
    <t>Comp</t>
  </si>
  <si>
    <t>Net Debt</t>
  </si>
  <si>
    <t>Equity Value</t>
  </si>
  <si>
    <t>Share</t>
  </si>
  <si>
    <t>Share Price</t>
  </si>
  <si>
    <t>Equity Market Return</t>
  </si>
  <si>
    <t>Index Name</t>
  </si>
  <si>
    <t>Date</t>
  </si>
  <si>
    <t>Total Returns Index</t>
  </si>
  <si>
    <t>NIFTY 50</t>
  </si>
  <si>
    <t>Year Frac</t>
  </si>
  <si>
    <t>Market Return</t>
  </si>
  <si>
    <t>Index</t>
  </si>
  <si>
    <t>Weighted-Average Cost of Capital (WACC)</t>
  </si>
  <si>
    <t>Comparable Companies Beta</t>
  </si>
  <si>
    <t>Total Debt</t>
  </si>
  <si>
    <t>Debt/Equity</t>
  </si>
  <si>
    <t>Debt/Capital</t>
  </si>
  <si>
    <t>Tax Rate</t>
  </si>
  <si>
    <t>Levered Beta</t>
  </si>
  <si>
    <t>Unlevered Beta</t>
  </si>
  <si>
    <t>WACC Calculation</t>
  </si>
  <si>
    <t>Total Capital Structure</t>
  </si>
  <si>
    <t>Proportion of debt</t>
  </si>
  <si>
    <t>Proportion of Equity</t>
  </si>
  <si>
    <t>Current Capital Structure</t>
  </si>
  <si>
    <t>Cost Of Debt</t>
  </si>
  <si>
    <t>Pre-tax Cost of Debt</t>
  </si>
  <si>
    <t xml:space="preserve">After-Tax Cost of Debt </t>
  </si>
  <si>
    <t>Cost Of Equity</t>
  </si>
  <si>
    <t>Risk Free Rate</t>
  </si>
  <si>
    <t>Equity Risk Premium</t>
  </si>
  <si>
    <t>Levered Equity Beta</t>
  </si>
  <si>
    <t>Cost of Equity</t>
  </si>
  <si>
    <t>WACC</t>
  </si>
  <si>
    <t>Month</t>
  </si>
  <si>
    <t>Beta</t>
  </si>
  <si>
    <t>Company Beta</t>
  </si>
  <si>
    <t>Index Close price</t>
  </si>
  <si>
    <t>% Change Monthly</t>
  </si>
  <si>
    <t>Stock Close Price</t>
  </si>
  <si>
    <t>DCF Model</t>
  </si>
  <si>
    <t>Assumptions</t>
  </si>
  <si>
    <t>Transaction Date</t>
  </si>
  <si>
    <t>Fiscal Year</t>
  </si>
  <si>
    <t>Discounted Cash Flow</t>
  </si>
  <si>
    <t>Entry</t>
  </si>
  <si>
    <t>Exit</t>
  </si>
  <si>
    <t>Time Periods</t>
  </si>
  <si>
    <t>Year Fract.</t>
  </si>
  <si>
    <t>Less: Cash Taxes</t>
  </si>
  <si>
    <t>Net Operating Profit (NOPAT)</t>
  </si>
  <si>
    <t>Less: Capex</t>
  </si>
  <si>
    <t>Less: Changes in NWC</t>
  </si>
  <si>
    <t>Unlevered FCFF</t>
  </si>
  <si>
    <t>Terminal Value</t>
  </si>
  <si>
    <t>EV/EBITDA</t>
  </si>
  <si>
    <t>EV/EBITDA Mutiple</t>
  </si>
  <si>
    <t>Prep.growth</t>
  </si>
  <si>
    <t>Prepetual Growth Rate</t>
  </si>
  <si>
    <t>Discount Rate</t>
  </si>
  <si>
    <t>Transaction FCFF</t>
  </si>
  <si>
    <t>Instrinsic Value</t>
  </si>
  <si>
    <t>Enterprise Value</t>
  </si>
  <si>
    <t>Plus: Cash &amp; Equivalent</t>
  </si>
  <si>
    <t>Less: Debt</t>
  </si>
  <si>
    <t>Less: Non Controlling Interest</t>
  </si>
  <si>
    <t>Share OutStanding</t>
  </si>
  <si>
    <t>Equity value/Share</t>
  </si>
  <si>
    <t>Market Value</t>
  </si>
  <si>
    <t>Current Price</t>
  </si>
  <si>
    <t>Plus: Debt</t>
  </si>
  <si>
    <t>Plus: Non Controlling Interest</t>
  </si>
  <si>
    <t>Lesss: Cash &amp; Equivalent</t>
  </si>
  <si>
    <t>Enterprise</t>
  </si>
  <si>
    <t>Rate of Return</t>
  </si>
  <si>
    <t>Target Price</t>
  </si>
  <si>
    <t>TP Upside</t>
  </si>
  <si>
    <t>Sensitivity Analysis</t>
  </si>
  <si>
    <t>Sensitivties-Intrinsic Value (Rs/Share)</t>
  </si>
  <si>
    <t>Exit multiple</t>
  </si>
  <si>
    <t>Discount rate</t>
  </si>
  <si>
    <t>Valuation Summary - Football Field</t>
  </si>
  <si>
    <t>Football Field Data</t>
  </si>
  <si>
    <t xml:space="preserve">Comp </t>
  </si>
  <si>
    <t>DCF</t>
  </si>
  <si>
    <t>Market</t>
  </si>
  <si>
    <t>Consenses</t>
  </si>
  <si>
    <t>52-week hi/Lo</t>
  </si>
  <si>
    <t>High</t>
  </si>
  <si>
    <t>Low</t>
  </si>
  <si>
    <t>Min</t>
  </si>
  <si>
    <t>Max</t>
  </si>
  <si>
    <t>Valuation Summary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</si>
</sst>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#&quot;A&quot;"/>
    <numFmt numFmtId="165" formatCode="#&quot;E&quot;"/>
    <numFmt numFmtId="166" formatCode="#,##0;\(#,##0\);&quot;-&quot;"/>
    <numFmt numFmtId="167" formatCode="0.0%"/>
    <numFmt numFmtId="168" formatCode="#,##0.0&quot;X&quot;"/>
    <numFmt numFmtId="169" formatCode=";;;"/>
    <numFmt numFmtId="170" formatCode="0.0\x"/>
  </numFmts>
  <fonts count="60" x14ac:knownFonts="1">
    <font>
      <sz val="11"/>
      <color theme="1"/>
      <name val="Calibri"/>
      <family val="2"/>
      <scheme val="minor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2"/>
      <color theme="1"/>
      <name val="Book Antiqua"/>
      <family val="1"/>
    </font>
    <font>
      <b/>
      <sz val="14"/>
      <color theme="1"/>
      <name val="Book Antiqua"/>
      <family val="1"/>
    </font>
    <font>
      <sz val="12"/>
      <color theme="1"/>
      <name val="Book Antiqua"/>
      <family val="1"/>
    </font>
    <font>
      <sz val="12"/>
      <color theme="4" tint="-0.499984740745262"/>
      <name val="Book Antiqua"/>
      <family val="1"/>
    </font>
    <font>
      <b/>
      <sz val="12"/>
      <color theme="4" tint="-0.499984740745262"/>
      <name val="Book Antiqua"/>
      <family val="1"/>
    </font>
    <font>
      <b/>
      <sz val="11"/>
      <color theme="4" tint="-0.499984740745262"/>
      <name val="Book Antiqua"/>
      <family val="1"/>
    </font>
    <font>
      <b/>
      <sz val="11"/>
      <name val="Book Antiqua"/>
      <family val="1"/>
    </font>
    <font>
      <b/>
      <sz val="26"/>
      <color theme="0"/>
      <name val="Book Antiqua"/>
      <family val="1"/>
    </font>
    <font>
      <b/>
      <sz val="11"/>
      <color theme="0"/>
      <name val="Book Antiqua"/>
      <family val="1"/>
    </font>
    <font>
      <b/>
      <sz val="16"/>
      <color theme="0"/>
      <name val="Book Antiqua"/>
      <family val="1"/>
    </font>
    <font>
      <sz val="11"/>
      <color theme="0"/>
      <name val="Book Antiqua"/>
      <family val="1"/>
    </font>
    <font>
      <b/>
      <sz val="14"/>
      <color theme="0"/>
      <name val="Book Antiqua"/>
      <family val="1"/>
    </font>
    <font>
      <sz val="14"/>
      <color theme="1"/>
      <name val="Book Antiqua"/>
      <family val="1"/>
    </font>
    <font>
      <sz val="14"/>
      <color rgb="FF00B050"/>
      <name val="Book Antiqua"/>
      <family val="1"/>
    </font>
    <font>
      <sz val="12"/>
      <color theme="1"/>
      <name val="Calibri"/>
      <family val="2"/>
    </font>
    <font>
      <sz val="12"/>
      <color rgb="FF00B050"/>
      <name val="Book Antiqua"/>
      <family val="1"/>
    </font>
    <font>
      <b/>
      <sz val="12"/>
      <color theme="1"/>
      <name val="Calibri"/>
      <family val="2"/>
    </font>
    <font>
      <b/>
      <sz val="12"/>
      <color rgb="FF00B050"/>
      <name val="Book Antiqua"/>
      <family val="1"/>
    </font>
    <font>
      <b/>
      <sz val="12"/>
      <name val="Book Antiqua"/>
      <family val="1"/>
    </font>
    <font>
      <b/>
      <sz val="12"/>
      <name val="Calibri"/>
      <family val="2"/>
    </font>
    <font>
      <sz val="12"/>
      <name val="Book Antiqua"/>
      <family val="1"/>
    </font>
    <font>
      <b/>
      <sz val="16"/>
      <name val="Book Antiqua"/>
      <family val="1"/>
    </font>
    <font>
      <b/>
      <sz val="14"/>
      <name val="Book Antiqua"/>
      <family val="1"/>
    </font>
    <font>
      <b/>
      <sz val="12"/>
      <color rgb="FF002060"/>
      <name val="Book Antiqua"/>
      <family val="1"/>
    </font>
    <font>
      <b/>
      <sz val="12"/>
      <color theme="0"/>
      <name val="Book Antiqua"/>
      <family val="1"/>
    </font>
    <font>
      <b/>
      <sz val="12"/>
      <color rgb="FF101113"/>
      <name val="Book Antiqua"/>
      <family val="1"/>
    </font>
    <font>
      <sz val="12"/>
      <color rgb="FF101113"/>
      <name val="Book Antiqua"/>
      <family val="1"/>
    </font>
    <font>
      <sz val="12"/>
      <color theme="0"/>
      <name val="Book Antiqua"/>
      <family val="1"/>
    </font>
    <font>
      <sz val="12"/>
      <color theme="0"/>
      <name val="Calibri"/>
      <family val="2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28"/>
      <color theme="0"/>
      <name val="Book Antiqua"/>
      <family val="1"/>
    </font>
    <font>
      <sz val="28"/>
      <color theme="1"/>
      <name val="Book Antiqua"/>
      <family val="1"/>
    </font>
    <font>
      <sz val="11"/>
      <color rgb="FF002060"/>
      <name val="Calibri"/>
      <family val="2"/>
      <scheme val="minor"/>
    </font>
    <font>
      <i/>
      <sz val="12"/>
      <color theme="1"/>
      <name val="Book Antiqua"/>
      <family val="1"/>
    </font>
    <font>
      <sz val="14"/>
      <color rgb="FF00B0F0"/>
      <name val="Book Antiqua"/>
      <family val="1"/>
    </font>
    <font>
      <i/>
      <sz val="14"/>
      <color theme="1"/>
      <name val="Book Antiqua"/>
      <family val="1"/>
    </font>
    <font>
      <sz val="12"/>
      <color rgb="FF002060"/>
      <name val="Book Antiqua"/>
      <family val="1"/>
    </font>
    <font>
      <sz val="11"/>
      <name val="Book Antiqua"/>
      <family val="1"/>
    </font>
    <font>
      <sz val="12"/>
      <name val="Calibri"/>
      <family val="2"/>
    </font>
    <font>
      <sz val="14"/>
      <name val="Book Antiqua"/>
      <family val="1"/>
    </font>
    <font>
      <sz val="11"/>
      <color rgb="FF101113"/>
      <name val="Book Antiqua"/>
      <family val="1"/>
    </font>
  </fonts>
  <fills count="4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49998474074526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42">
    <xf numFmtId="0" fontId="0" fillId="0" borderId="0"/>
    <xf numFmtId="0" fontId="33" fillId="0" borderId="0" applyNumberFormat="0" applyFill="0" applyBorder="0" applyAlignment="0" applyProtection="0"/>
    <xf numFmtId="0" fontId="34" fillId="0" borderId="7" applyNumberFormat="0" applyFill="0" applyAlignment="0" applyProtection="0"/>
    <xf numFmtId="0" fontId="35" fillId="0" borderId="8" applyNumberFormat="0" applyFill="0" applyAlignment="0" applyProtection="0"/>
    <xf numFmtId="0" fontId="36" fillId="0" borderId="9" applyNumberFormat="0" applyFill="0" applyAlignment="0" applyProtection="0"/>
    <xf numFmtId="0" fontId="36" fillId="0" borderId="0" applyNumberFormat="0" applyFill="0" applyBorder="0" applyAlignment="0" applyProtection="0"/>
    <xf numFmtId="0" fontId="37" fillId="9" borderId="0" applyNumberFormat="0" applyBorder="0" applyAlignment="0" applyProtection="0"/>
    <xf numFmtId="0" fontId="38" fillId="10" borderId="0" applyNumberFormat="0" applyBorder="0" applyAlignment="0" applyProtection="0"/>
    <xf numFmtId="0" fontId="39" fillId="11" borderId="0" applyNumberFormat="0" applyBorder="0" applyAlignment="0" applyProtection="0"/>
    <xf numFmtId="0" fontId="40" fillId="12" borderId="10" applyNumberFormat="0" applyAlignment="0" applyProtection="0"/>
    <xf numFmtId="0" fontId="41" fillId="13" borderId="11" applyNumberFormat="0" applyAlignment="0" applyProtection="0"/>
    <xf numFmtId="0" fontId="42" fillId="13" borderId="10" applyNumberFormat="0" applyAlignment="0" applyProtection="0"/>
    <xf numFmtId="0" fontId="43" fillId="0" borderId="12" applyNumberFormat="0" applyFill="0" applyAlignment="0" applyProtection="0"/>
    <xf numFmtId="0" fontId="44" fillId="14" borderId="13" applyNumberFormat="0" applyAlignment="0" applyProtection="0"/>
    <xf numFmtId="0" fontId="45" fillId="0" borderId="0" applyNumberFormat="0" applyFill="0" applyBorder="0" applyAlignment="0" applyProtection="0"/>
    <xf numFmtId="0" fontId="32" fillId="15" borderId="14" applyNumberFormat="0" applyFont="0" applyAlignment="0" applyProtection="0"/>
    <xf numFmtId="0" fontId="46" fillId="0" borderId="0" applyNumberFormat="0" applyFill="0" applyBorder="0" applyAlignment="0" applyProtection="0"/>
    <xf numFmtId="0" fontId="47" fillId="0" borderId="15" applyNumberFormat="0" applyFill="0" applyAlignment="0" applyProtection="0"/>
    <xf numFmtId="0" fontId="48" fillId="16" borderId="0" applyNumberFormat="0" applyBorder="0" applyAlignment="0" applyProtection="0"/>
    <xf numFmtId="0" fontId="32" fillId="17" borderId="0" applyNumberFormat="0" applyBorder="0" applyAlignment="0" applyProtection="0"/>
    <xf numFmtId="0" fontId="32" fillId="18" borderId="0" applyNumberFormat="0" applyBorder="0" applyAlignment="0" applyProtection="0"/>
    <xf numFmtId="0" fontId="32" fillId="19" borderId="0" applyNumberFormat="0" applyBorder="0" applyAlignment="0" applyProtection="0"/>
    <xf numFmtId="0" fontId="48" fillId="20" borderId="0" applyNumberFormat="0" applyBorder="0" applyAlignment="0" applyProtection="0"/>
    <xf numFmtId="0" fontId="32" fillId="21" borderId="0" applyNumberFormat="0" applyBorder="0" applyAlignment="0" applyProtection="0"/>
    <xf numFmtId="0" fontId="32" fillId="22" borderId="0" applyNumberFormat="0" applyBorder="0" applyAlignment="0" applyProtection="0"/>
    <xf numFmtId="0" fontId="32" fillId="23" borderId="0" applyNumberFormat="0" applyBorder="0" applyAlignment="0" applyProtection="0"/>
    <xf numFmtId="0" fontId="48" fillId="24" borderId="0" applyNumberFormat="0" applyBorder="0" applyAlignment="0" applyProtection="0"/>
    <xf numFmtId="0" fontId="32" fillId="25" borderId="0" applyNumberFormat="0" applyBorder="0" applyAlignment="0" applyProtection="0"/>
    <xf numFmtId="0" fontId="32" fillId="26" borderId="0" applyNumberFormat="0" applyBorder="0" applyAlignment="0" applyProtection="0"/>
    <xf numFmtId="0" fontId="32" fillId="27" borderId="0" applyNumberFormat="0" applyBorder="0" applyAlignment="0" applyProtection="0"/>
    <xf numFmtId="0" fontId="48" fillId="28" borderId="0" applyNumberFormat="0" applyBorder="0" applyAlignment="0" applyProtection="0"/>
    <xf numFmtId="0" fontId="32" fillId="29" borderId="0" applyNumberFormat="0" applyBorder="0" applyAlignment="0" applyProtection="0"/>
    <xf numFmtId="0" fontId="32" fillId="30" borderId="0" applyNumberFormat="0" applyBorder="0" applyAlignment="0" applyProtection="0"/>
    <xf numFmtId="0" fontId="32" fillId="31" borderId="0" applyNumberFormat="0" applyBorder="0" applyAlignment="0" applyProtection="0"/>
    <xf numFmtId="0" fontId="48" fillId="32" borderId="0" applyNumberFormat="0" applyBorder="0" applyAlignment="0" applyProtection="0"/>
    <xf numFmtId="0" fontId="32" fillId="33" borderId="0" applyNumberFormat="0" applyBorder="0" applyAlignment="0" applyProtection="0"/>
    <xf numFmtId="0" fontId="32" fillId="34" borderId="0" applyNumberFormat="0" applyBorder="0" applyAlignment="0" applyProtection="0"/>
    <xf numFmtId="0" fontId="32" fillId="35" borderId="0" applyNumberFormat="0" applyBorder="0" applyAlignment="0" applyProtection="0"/>
    <xf numFmtId="0" fontId="48" fillId="36" borderId="0" applyNumberFormat="0" applyBorder="0" applyAlignment="0" applyProtection="0"/>
    <xf numFmtId="0" fontId="32" fillId="37" borderId="0" applyNumberFormat="0" applyBorder="0" applyAlignment="0" applyProtection="0"/>
    <xf numFmtId="0" fontId="32" fillId="38" borderId="0" applyNumberFormat="0" applyBorder="0" applyAlignment="0" applyProtection="0"/>
    <xf numFmtId="0" fontId="32" fillId="39" borderId="0" applyNumberFormat="0" applyBorder="0" applyAlignment="0" applyProtection="0"/>
  </cellStyleXfs>
  <cellXfs count="237">
    <xf numFmtId="0" fontId="0" fillId="0" borderId="0" xfId="0"/>
    <xf numFmtId="0" fontId="1" fillId="0" borderId="0" xfId="0" applyFont="1"/>
    <xf numFmtId="0" fontId="1" fillId="0" borderId="1" xfId="0" applyFont="1" applyBorder="1"/>
    <xf numFmtId="0" fontId="2" fillId="0" borderId="0" xfId="0" applyFont="1" applyAlignment="1">
      <alignment horizontal="right"/>
    </xf>
    <xf numFmtId="0" fontId="2" fillId="0" borderId="0" xfId="0" applyFont="1"/>
    <xf numFmtId="0" fontId="1" fillId="0" borderId="0" xfId="0" applyFont="1" applyAlignment="1">
      <alignment horizontal="right"/>
    </xf>
    <xf numFmtId="4" fontId="1" fillId="0" borderId="0" xfId="0" applyNumberFormat="1" applyFont="1"/>
    <xf numFmtId="4" fontId="2" fillId="0" borderId="0" xfId="0" applyNumberFormat="1" applyFont="1"/>
    <xf numFmtId="4" fontId="1" fillId="0" borderId="1" xfId="0" applyNumberFormat="1" applyFont="1" applyBorder="1"/>
    <xf numFmtId="4" fontId="2" fillId="0" borderId="2" xfId="0" applyNumberFormat="1" applyFont="1" applyBorder="1"/>
    <xf numFmtId="4" fontId="1" fillId="0" borderId="2" xfId="0" applyNumberFormat="1" applyFont="1" applyBorder="1"/>
    <xf numFmtId="4" fontId="2" fillId="0" borderId="3" xfId="0" applyNumberFormat="1" applyFont="1" applyBorder="1"/>
    <xf numFmtId="0" fontId="5" fillId="0" borderId="0" xfId="0" applyFont="1" applyAlignment="1">
      <alignment horizontal="right"/>
    </xf>
    <xf numFmtId="0" fontId="5" fillId="0" borderId="0" xfId="0" applyFont="1"/>
    <xf numFmtId="0" fontId="6" fillId="0" borderId="0" xfId="0" applyFont="1" applyAlignment="1">
      <alignment horizontal="right"/>
    </xf>
    <xf numFmtId="4" fontId="5" fillId="0" borderId="0" xfId="0" applyNumberFormat="1" applyFont="1"/>
    <xf numFmtId="0" fontId="3" fillId="0" borderId="0" xfId="0" applyFont="1"/>
    <xf numFmtId="0" fontId="3" fillId="0" borderId="2" xfId="0" applyFont="1" applyBorder="1"/>
    <xf numFmtId="4" fontId="3" fillId="0" borderId="2" xfId="0" applyNumberFormat="1" applyFont="1" applyBorder="1"/>
    <xf numFmtId="4" fontId="3" fillId="0" borderId="0" xfId="0" applyNumberFormat="1" applyFont="1"/>
    <xf numFmtId="0" fontId="7" fillId="3" borderId="0" xfId="0" applyFont="1" applyFill="1"/>
    <xf numFmtId="0" fontId="7" fillId="0" borderId="0" xfId="0" applyFont="1"/>
    <xf numFmtId="0" fontId="3" fillId="0" borderId="4" xfId="0" applyFont="1" applyBorder="1"/>
    <xf numFmtId="0" fontId="5" fillId="0" borderId="4" xfId="0" applyFont="1" applyBorder="1"/>
    <xf numFmtId="4" fontId="5" fillId="0" borderId="4" xfId="0" applyNumberFormat="1" applyFont="1" applyBorder="1"/>
    <xf numFmtId="0" fontId="3" fillId="4" borderId="0" xfId="0" applyFont="1" applyFill="1"/>
    <xf numFmtId="0" fontId="8" fillId="0" borderId="0" xfId="0" applyFont="1"/>
    <xf numFmtId="0" fontId="9" fillId="0" borderId="0" xfId="0" applyFont="1"/>
    <xf numFmtId="0" fontId="2" fillId="0" borderId="2" xfId="0" applyFont="1" applyBorder="1"/>
    <xf numFmtId="0" fontId="8" fillId="0" borderId="2" xfId="0" applyFont="1" applyBorder="1"/>
    <xf numFmtId="0" fontId="5" fillId="0" borderId="1" xfId="0" applyFont="1" applyBorder="1"/>
    <xf numFmtId="0" fontId="10" fillId="5" borderId="0" xfId="0" applyFont="1" applyFill="1"/>
    <xf numFmtId="0" fontId="11" fillId="5" borderId="0" xfId="0" applyFont="1" applyFill="1"/>
    <xf numFmtId="0" fontId="1" fillId="5" borderId="0" xfId="0" applyFont="1" applyFill="1"/>
    <xf numFmtId="0" fontId="12" fillId="5" borderId="0" xfId="0" applyFont="1" applyFill="1"/>
    <xf numFmtId="164" fontId="11" fillId="5" borderId="0" xfId="0" applyNumberFormat="1" applyFont="1" applyFill="1"/>
    <xf numFmtId="0" fontId="14" fillId="5" borderId="0" xfId="0" applyFont="1" applyFill="1" applyAlignment="1">
      <alignment horizontal="center"/>
    </xf>
    <xf numFmtId="165" fontId="11" fillId="6" borderId="0" xfId="0" applyNumberFormat="1" applyFont="1" applyFill="1"/>
    <xf numFmtId="0" fontId="12" fillId="6" borderId="0" xfId="0" applyFont="1" applyFill="1"/>
    <xf numFmtId="0" fontId="15" fillId="0" borderId="0" xfId="0" applyFont="1"/>
    <xf numFmtId="166" fontId="15" fillId="0" borderId="0" xfId="0" applyNumberFormat="1" applyFont="1"/>
    <xf numFmtId="166" fontId="16" fillId="0" borderId="0" xfId="0" applyNumberFormat="1" applyFont="1"/>
    <xf numFmtId="0" fontId="17" fillId="0" borderId="0" xfId="0" applyFont="1"/>
    <xf numFmtId="166" fontId="18" fillId="0" borderId="0" xfId="0" applyNumberFormat="1" applyFont="1"/>
    <xf numFmtId="0" fontId="19" fillId="0" borderId="2" xfId="0" applyFont="1" applyBorder="1"/>
    <xf numFmtId="166" fontId="3" fillId="0" borderId="2" xfId="0" applyNumberFormat="1" applyFont="1" applyBorder="1"/>
    <xf numFmtId="166" fontId="5" fillId="0" borderId="0" xfId="0" applyNumberFormat="1" applyFont="1"/>
    <xf numFmtId="0" fontId="3" fillId="3" borderId="2" xfId="0" applyFont="1" applyFill="1" applyBorder="1"/>
    <xf numFmtId="0" fontId="19" fillId="3" borderId="2" xfId="0" applyFont="1" applyFill="1" applyBorder="1"/>
    <xf numFmtId="166" fontId="3" fillId="3" borderId="2" xfId="0" applyNumberFormat="1" applyFont="1" applyFill="1" applyBorder="1"/>
    <xf numFmtId="0" fontId="3" fillId="0" borderId="5" xfId="0" applyFont="1" applyBorder="1"/>
    <xf numFmtId="0" fontId="19" fillId="0" borderId="5" xfId="0" applyFont="1" applyBorder="1"/>
    <xf numFmtId="166" fontId="3" fillId="0" borderId="5" xfId="0" applyNumberFormat="1" applyFont="1" applyBorder="1"/>
    <xf numFmtId="0" fontId="11" fillId="3" borderId="0" xfId="0" applyFont="1" applyFill="1"/>
    <xf numFmtId="0" fontId="1" fillId="3" borderId="0" xfId="0" applyFont="1" applyFill="1"/>
    <xf numFmtId="164" fontId="11" fillId="3" borderId="0" xfId="0" applyNumberFormat="1" applyFont="1" applyFill="1"/>
    <xf numFmtId="165" fontId="11" fillId="3" borderId="0" xfId="0" applyNumberFormat="1" applyFont="1" applyFill="1"/>
    <xf numFmtId="0" fontId="12" fillId="3" borderId="0" xfId="0" applyFont="1" applyFill="1"/>
    <xf numFmtId="0" fontId="20" fillId="3" borderId="0" xfId="0" applyFont="1" applyFill="1"/>
    <xf numFmtId="164" fontId="20" fillId="3" borderId="0" xfId="0" applyNumberFormat="1" applyFont="1" applyFill="1"/>
    <xf numFmtId="0" fontId="21" fillId="0" borderId="2" xfId="0" applyFont="1" applyBorder="1"/>
    <xf numFmtId="0" fontId="22" fillId="0" borderId="2" xfId="0" applyFont="1" applyBorder="1"/>
    <xf numFmtId="166" fontId="21" fillId="0" borderId="2" xfId="0" applyNumberFormat="1" applyFont="1" applyBorder="1"/>
    <xf numFmtId="166" fontId="21" fillId="0" borderId="0" xfId="0" applyNumberFormat="1" applyFont="1"/>
    <xf numFmtId="166" fontId="23" fillId="0" borderId="0" xfId="0" applyNumberFormat="1" applyFont="1"/>
    <xf numFmtId="167" fontId="23" fillId="0" borderId="0" xfId="0" applyNumberFormat="1" applyFont="1"/>
    <xf numFmtId="168" fontId="23" fillId="0" borderId="0" xfId="0" applyNumberFormat="1" applyFont="1"/>
    <xf numFmtId="165" fontId="9" fillId="3" borderId="0" xfId="0" applyNumberFormat="1" applyFont="1" applyFill="1"/>
    <xf numFmtId="0" fontId="24" fillId="3" borderId="0" xfId="0" applyFont="1" applyFill="1"/>
    <xf numFmtId="0" fontId="21" fillId="3" borderId="0" xfId="0" applyFont="1" applyFill="1"/>
    <xf numFmtId="165" fontId="21" fillId="3" borderId="0" xfId="0" applyNumberFormat="1" applyFont="1" applyFill="1"/>
    <xf numFmtId="167" fontId="21" fillId="0" borderId="0" xfId="0" applyNumberFormat="1" applyFont="1"/>
    <xf numFmtId="168" fontId="21" fillId="0" borderId="0" xfId="0" applyNumberFormat="1" applyFont="1"/>
    <xf numFmtId="0" fontId="25" fillId="3" borderId="0" xfId="0" applyFont="1" applyFill="1"/>
    <xf numFmtId="167" fontId="21" fillId="3" borderId="0" xfId="0" applyNumberFormat="1" applyFont="1" applyFill="1"/>
    <xf numFmtId="167" fontId="21" fillId="3" borderId="6" xfId="0" applyNumberFormat="1" applyFont="1" applyFill="1" applyBorder="1"/>
    <xf numFmtId="167" fontId="21" fillId="0" borderId="6" xfId="0" applyNumberFormat="1" applyFont="1" applyBorder="1"/>
    <xf numFmtId="167" fontId="26" fillId="0" borderId="6" xfId="0" applyNumberFormat="1" applyFont="1" applyBorder="1"/>
    <xf numFmtId="9" fontId="21" fillId="3" borderId="0" xfId="0" applyNumberFormat="1" applyFont="1" applyFill="1"/>
    <xf numFmtId="166" fontId="23" fillId="7" borderId="6" xfId="0" applyNumberFormat="1" applyFont="1" applyFill="1" applyBorder="1"/>
    <xf numFmtId="169" fontId="23" fillId="0" borderId="0" xfId="0" applyNumberFormat="1" applyFont="1"/>
    <xf numFmtId="0" fontId="27" fillId="3" borderId="0" xfId="0" applyFont="1" applyFill="1"/>
    <xf numFmtId="0" fontId="28" fillId="3" borderId="0" xfId="0" applyFont="1" applyFill="1" applyAlignment="1">
      <alignment horizontal="left" vertical="center" wrapText="1"/>
    </xf>
    <xf numFmtId="0" fontId="28" fillId="3" borderId="0" xfId="0" applyFont="1" applyFill="1" applyAlignment="1">
      <alignment horizontal="center" vertical="center" wrapText="1"/>
    </xf>
    <xf numFmtId="0" fontId="29" fillId="3" borderId="0" xfId="0" applyFont="1" applyFill="1" applyAlignment="1">
      <alignment horizontal="left" vertical="center" wrapText="1"/>
    </xf>
    <xf numFmtId="0" fontId="29" fillId="3" borderId="0" xfId="0" applyFont="1" applyFill="1" applyAlignment="1">
      <alignment horizontal="center" vertical="center" wrapText="1"/>
    </xf>
    <xf numFmtId="0" fontId="27" fillId="5" borderId="0" xfId="0" applyFont="1" applyFill="1" applyAlignment="1">
      <alignment horizontal="center"/>
    </xf>
    <xf numFmtId="0" fontId="27" fillId="5" borderId="0" xfId="0" applyFont="1" applyFill="1"/>
    <xf numFmtId="0" fontId="30" fillId="5" borderId="0" xfId="0" applyFont="1" applyFill="1" applyAlignment="1">
      <alignment horizontal="center"/>
    </xf>
    <xf numFmtId="0" fontId="31" fillId="5" borderId="0" xfId="0" applyFont="1" applyFill="1" applyAlignment="1">
      <alignment horizontal="center"/>
    </xf>
    <xf numFmtId="164" fontId="27" fillId="5" borderId="0" xfId="0" applyNumberFormat="1" applyFont="1" applyFill="1" applyAlignment="1">
      <alignment horizontal="center"/>
    </xf>
    <xf numFmtId="165" fontId="27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166" fontId="21" fillId="8" borderId="0" xfId="0" applyNumberFormat="1" applyFont="1" applyFill="1"/>
    <xf numFmtId="168" fontId="21" fillId="8" borderId="0" xfId="0" applyNumberFormat="1" applyFont="1" applyFill="1"/>
    <xf numFmtId="165" fontId="27" fillId="3" borderId="0" xfId="0" applyNumberFormat="1" applyFont="1" applyFill="1" applyAlignment="1">
      <alignment horizontal="center"/>
    </xf>
    <xf numFmtId="0" fontId="27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168" fontId="23" fillId="8" borderId="0" xfId="0" applyNumberFormat="1" applyFont="1" applyFill="1"/>
    <xf numFmtId="0" fontId="5" fillId="6" borderId="0" xfId="0" applyFont="1" applyFill="1"/>
    <xf numFmtId="0" fontId="30" fillId="6" borderId="0" xfId="0" applyFont="1" applyFill="1"/>
    <xf numFmtId="166" fontId="3" fillId="0" borderId="0" xfId="0" applyNumberFormat="1" applyFont="1"/>
    <xf numFmtId="0" fontId="27" fillId="6" borderId="0" xfId="0" applyFont="1" applyFill="1"/>
    <xf numFmtId="168" fontId="5" fillId="0" borderId="0" xfId="0" applyNumberFormat="1" applyFont="1"/>
    <xf numFmtId="0" fontId="30" fillId="6" borderId="0" xfId="0" applyFont="1" applyFill="1" applyAlignment="1">
      <alignment horizontal="center"/>
    </xf>
    <xf numFmtId="1" fontId="0" fillId="0" borderId="6" xfId="0" applyNumberFormat="1" applyBorder="1"/>
    <xf numFmtId="10" fontId="47" fillId="0" borderId="6" xfId="0" applyNumberFormat="1" applyFont="1" applyBorder="1"/>
    <xf numFmtId="0" fontId="11" fillId="6" borderId="0" xfId="0" applyFont="1" applyFill="1"/>
    <xf numFmtId="0" fontId="14" fillId="3" borderId="0" xfId="0" applyFont="1" applyFill="1" applyAlignment="1">
      <alignment horizontal="center"/>
    </xf>
    <xf numFmtId="0" fontId="47" fillId="0" borderId="0" xfId="0" applyFont="1"/>
    <xf numFmtId="164" fontId="11" fillId="6" borderId="0" xfId="0" applyNumberFormat="1" applyFont="1" applyFill="1"/>
    <xf numFmtId="0" fontId="0" fillId="0" borderId="0" xfId="0" applyAlignment="1">
      <alignment horizontal="center"/>
    </xf>
    <xf numFmtId="0" fontId="1" fillId="6" borderId="0" xfId="0" applyFont="1" applyFill="1"/>
    <xf numFmtId="0" fontId="50" fillId="5" borderId="0" xfId="0" applyFont="1" applyFill="1"/>
    <xf numFmtId="0" fontId="21" fillId="8" borderId="0" xfId="0" applyFont="1" applyFill="1"/>
    <xf numFmtId="0" fontId="49" fillId="5" borderId="0" xfId="0" applyFont="1" applyFill="1"/>
    <xf numFmtId="2" fontId="21" fillId="8" borderId="0" xfId="0" applyNumberFormat="1" applyFont="1" applyFill="1"/>
    <xf numFmtId="168" fontId="21" fillId="3" borderId="0" xfId="0" applyNumberFormat="1" applyFont="1" applyFill="1"/>
    <xf numFmtId="10" fontId="21" fillId="8" borderId="0" xfId="0" applyNumberFormat="1" applyFont="1" applyFill="1"/>
    <xf numFmtId="10" fontId="23" fillId="0" borderId="0" xfId="0" applyNumberFormat="1" applyFont="1"/>
    <xf numFmtId="168" fontId="23" fillId="3" borderId="0" xfId="0" applyNumberFormat="1" applyFont="1" applyFill="1"/>
    <xf numFmtId="2" fontId="23" fillId="0" borderId="0" xfId="0" applyNumberFormat="1" applyFont="1"/>
    <xf numFmtId="0" fontId="21" fillId="5" borderId="0" xfId="0" applyFont="1" applyFill="1"/>
    <xf numFmtId="166" fontId="21" fillId="3" borderId="0" xfId="0" applyNumberFormat="1" applyFont="1" applyFill="1"/>
    <xf numFmtId="0" fontId="23" fillId="0" borderId="0" xfId="0" applyFont="1"/>
    <xf numFmtId="0" fontId="15" fillId="5" borderId="0" xfId="0" applyFont="1" applyFill="1"/>
    <xf numFmtId="0" fontId="31" fillId="3" borderId="0" xfId="0" applyFont="1" applyFill="1" applyAlignment="1">
      <alignment horizontal="center"/>
    </xf>
    <xf numFmtId="0" fontId="14" fillId="5" borderId="0" xfId="0" applyFont="1" applyFill="1"/>
    <xf numFmtId="15" fontId="0" fillId="0" borderId="0" xfId="0" applyNumberFormat="1"/>
    <xf numFmtId="166" fontId="23" fillId="3" borderId="0" xfId="0" applyNumberFormat="1" applyFont="1" applyFill="1"/>
    <xf numFmtId="0" fontId="5" fillId="3" borderId="0" xfId="0" applyFont="1" applyFill="1"/>
    <xf numFmtId="0" fontId="17" fillId="3" borderId="0" xfId="0" applyFont="1" applyFill="1"/>
    <xf numFmtId="166" fontId="18" fillId="3" borderId="0" xfId="0" applyNumberFormat="1" applyFont="1" applyFill="1"/>
    <xf numFmtId="166" fontId="15" fillId="3" borderId="0" xfId="0" applyNumberFormat="1" applyFont="1" applyFill="1"/>
    <xf numFmtId="0" fontId="15" fillId="3" borderId="0" xfId="0" applyFont="1" applyFill="1"/>
    <xf numFmtId="0" fontId="3" fillId="3" borderId="0" xfId="0" applyFont="1" applyFill="1"/>
    <xf numFmtId="0" fontId="19" fillId="3" borderId="0" xfId="0" applyFont="1" applyFill="1"/>
    <xf numFmtId="166" fontId="3" fillId="3" borderId="0" xfId="0" applyNumberFormat="1" applyFont="1" applyFill="1"/>
    <xf numFmtId="166" fontId="16" fillId="3" borderId="0" xfId="0" applyNumberFormat="1" applyFont="1" applyFill="1"/>
    <xf numFmtId="166" fontId="5" fillId="3" borderId="0" xfId="0" applyNumberFormat="1" applyFont="1" applyFill="1"/>
    <xf numFmtId="0" fontId="22" fillId="3" borderId="0" xfId="0" applyFont="1" applyFill="1"/>
    <xf numFmtId="168" fontId="5" fillId="40" borderId="0" xfId="0" applyNumberFormat="1" applyFont="1" applyFill="1"/>
    <xf numFmtId="0" fontId="5" fillId="40" borderId="0" xfId="0" applyFont="1" applyFill="1"/>
    <xf numFmtId="0" fontId="3" fillId="40" borderId="0" xfId="0" applyFont="1" applyFill="1"/>
    <xf numFmtId="0" fontId="15" fillId="6" borderId="0" xfId="0" applyFont="1" applyFill="1"/>
    <xf numFmtId="0" fontId="5" fillId="0" borderId="2" xfId="0" applyFont="1" applyBorder="1"/>
    <xf numFmtId="10" fontId="5" fillId="0" borderId="2" xfId="0" applyNumberFormat="1" applyFont="1" applyBorder="1"/>
    <xf numFmtId="10" fontId="5" fillId="0" borderId="0" xfId="0" applyNumberFormat="1" applyFont="1"/>
    <xf numFmtId="10" fontId="3" fillId="3" borderId="0" xfId="0" applyNumberFormat="1" applyFont="1" applyFill="1"/>
    <xf numFmtId="10" fontId="5" fillId="3" borderId="0" xfId="0" applyNumberFormat="1" applyFont="1" applyFill="1"/>
    <xf numFmtId="167" fontId="3" fillId="3" borderId="2" xfId="0" applyNumberFormat="1" applyFont="1" applyFill="1" applyBorder="1"/>
    <xf numFmtId="2" fontId="5" fillId="3" borderId="0" xfId="0" applyNumberFormat="1" applyFont="1" applyFill="1"/>
    <xf numFmtId="0" fontId="3" fillId="3" borderId="4" xfId="0" applyFont="1" applyFill="1" applyBorder="1"/>
    <xf numFmtId="167" fontId="5" fillId="3" borderId="2" xfId="0" applyNumberFormat="1" applyFont="1" applyFill="1" applyBorder="1"/>
    <xf numFmtId="167" fontId="5" fillId="3" borderId="4" xfId="0" applyNumberFormat="1" applyFont="1" applyFill="1" applyBorder="1"/>
    <xf numFmtId="0" fontId="44" fillId="6" borderId="0" xfId="0" applyFont="1" applyFill="1"/>
    <xf numFmtId="0" fontId="54" fillId="0" borderId="0" xfId="0" applyFont="1"/>
    <xf numFmtId="0" fontId="44" fillId="3" borderId="0" xfId="0" applyFont="1" applyFill="1" applyAlignment="1">
      <alignment horizontal="center"/>
    </xf>
    <xf numFmtId="14" fontId="52" fillId="0" borderId="0" xfId="0" applyNumberFormat="1" applyFont="1"/>
    <xf numFmtId="2" fontId="53" fillId="0" borderId="0" xfId="0" applyNumberFormat="1" applyFont="1"/>
    <xf numFmtId="0" fontId="44" fillId="3" borderId="0" xfId="0" applyFont="1" applyFill="1"/>
    <xf numFmtId="0" fontId="51" fillId="0" borderId="0" xfId="0" applyFont="1"/>
    <xf numFmtId="0" fontId="44" fillId="6" borderId="0" xfId="0" applyFont="1" applyFill="1" applyAlignment="1">
      <alignment horizontal="center"/>
    </xf>
    <xf numFmtId="2" fontId="47" fillId="0" borderId="6" xfId="0" applyNumberFormat="1" applyFont="1" applyBorder="1"/>
    <xf numFmtId="2" fontId="5" fillId="0" borderId="0" xfId="0" applyNumberFormat="1" applyFont="1"/>
    <xf numFmtId="166" fontId="3" fillId="0" borderId="1" xfId="0" applyNumberFormat="1" applyFont="1" applyBorder="1"/>
    <xf numFmtId="167" fontId="5" fillId="0" borderId="0" xfId="0" applyNumberFormat="1" applyFont="1"/>
    <xf numFmtId="0" fontId="3" fillId="0" borderId="1" xfId="0" applyFont="1" applyBorder="1"/>
    <xf numFmtId="17" fontId="51" fillId="0" borderId="0" xfId="0" applyNumberFormat="1" applyFont="1"/>
    <xf numFmtId="166" fontId="5" fillId="0" borderId="1" xfId="0" applyNumberFormat="1" applyFont="1" applyBorder="1"/>
    <xf numFmtId="14" fontId="55" fillId="0" borderId="2" xfId="0" applyNumberFormat="1" applyFont="1" applyBorder="1"/>
    <xf numFmtId="167" fontId="0" fillId="0" borderId="0" xfId="0" applyNumberFormat="1"/>
    <xf numFmtId="2" fontId="5" fillId="41" borderId="0" xfId="0" applyNumberFormat="1" applyFont="1" applyFill="1"/>
    <xf numFmtId="0" fontId="15" fillId="0" borderId="1" xfId="0" applyFont="1" applyBorder="1"/>
    <xf numFmtId="166" fontId="52" fillId="0" borderId="0" xfId="0" applyNumberFormat="1" applyFont="1"/>
    <xf numFmtId="0" fontId="4" fillId="0" borderId="1" xfId="0" applyFont="1" applyBorder="1"/>
    <xf numFmtId="14" fontId="5" fillId="0" borderId="0" xfId="0" applyNumberFormat="1" applyFont="1"/>
    <xf numFmtId="0" fontId="54" fillId="0" borderId="2" xfId="0" applyFont="1" applyBorder="1"/>
    <xf numFmtId="166" fontId="5" fillId="0" borderId="2" xfId="0" applyNumberFormat="1" applyFont="1" applyBorder="1"/>
    <xf numFmtId="166" fontId="5" fillId="41" borderId="0" xfId="0" applyNumberFormat="1" applyFont="1" applyFill="1"/>
    <xf numFmtId="0" fontId="15" fillId="0" borderId="2" xfId="0" applyFont="1" applyBorder="1"/>
    <xf numFmtId="14" fontId="55" fillId="0" borderId="0" xfId="0" applyNumberFormat="1" applyFont="1"/>
    <xf numFmtId="10" fontId="18" fillId="0" borderId="0" xfId="0" applyNumberFormat="1" applyFont="1"/>
    <xf numFmtId="168" fontId="18" fillId="3" borderId="0" xfId="0" applyNumberFormat="1" applyFont="1" applyFill="1"/>
    <xf numFmtId="9" fontId="55" fillId="0" borderId="0" xfId="0" applyNumberFormat="1" applyFont="1"/>
    <xf numFmtId="170" fontId="3" fillId="0" borderId="0" xfId="0" applyNumberFormat="1" applyFont="1"/>
    <xf numFmtId="166" fontId="5" fillId="0" borderId="1" xfId="0" applyNumberFormat="1" applyFont="1" applyBorder="1" applyAlignment="1">
      <alignment horizontal="centerContinuous"/>
    </xf>
    <xf numFmtId="0" fontId="15" fillId="0" borderId="1" xfId="0" applyFont="1" applyBorder="1" applyAlignment="1">
      <alignment horizontal="centerContinuous"/>
    </xf>
    <xf numFmtId="167" fontId="3" fillId="0" borderId="0" xfId="0" applyNumberFormat="1" applyFont="1"/>
    <xf numFmtId="10" fontId="3" fillId="0" borderId="0" xfId="0" applyNumberFormat="1" applyFont="1"/>
    <xf numFmtId="9" fontId="3" fillId="0" borderId="0" xfId="0" applyNumberFormat="1" applyFont="1"/>
    <xf numFmtId="170" fontId="3" fillId="0" borderId="16" xfId="0" applyNumberFormat="1" applyFont="1" applyBorder="1"/>
    <xf numFmtId="166" fontId="5" fillId="0" borderId="17" xfId="0" applyNumberFormat="1" applyFont="1" applyBorder="1"/>
    <xf numFmtId="169" fontId="5" fillId="0" borderId="0" xfId="0" applyNumberFormat="1" applyFont="1"/>
    <xf numFmtId="166" fontId="5" fillId="2" borderId="0" xfId="0" applyNumberFormat="1" applyFont="1" applyFill="1"/>
    <xf numFmtId="166" fontId="5" fillId="42" borderId="0" xfId="0" applyNumberFormat="1" applyFont="1" applyFill="1"/>
    <xf numFmtId="10" fontId="3" fillId="0" borderId="16" xfId="0" applyNumberFormat="1" applyFont="1" applyBorder="1"/>
    <xf numFmtId="0" fontId="5" fillId="42" borderId="0" xfId="0" applyFont="1" applyFill="1"/>
    <xf numFmtId="169" fontId="23" fillId="3" borderId="0" xfId="0" applyNumberFormat="1" applyFont="1" applyFill="1"/>
    <xf numFmtId="167" fontId="23" fillId="3" borderId="0" xfId="0" applyNumberFormat="1" applyFont="1" applyFill="1"/>
    <xf numFmtId="0" fontId="4" fillId="3" borderId="0" xfId="0" applyFont="1" applyFill="1"/>
    <xf numFmtId="14" fontId="52" fillId="3" borderId="0" xfId="0" applyNumberFormat="1" applyFont="1" applyFill="1"/>
    <xf numFmtId="14" fontId="5" fillId="3" borderId="0" xfId="0" applyNumberFormat="1" applyFont="1" applyFill="1"/>
    <xf numFmtId="166" fontId="52" fillId="3" borderId="0" xfId="0" applyNumberFormat="1" applyFont="1" applyFill="1"/>
    <xf numFmtId="0" fontId="54" fillId="3" borderId="0" xfId="0" applyFont="1" applyFill="1"/>
    <xf numFmtId="2" fontId="53" fillId="3" borderId="0" xfId="0" applyNumberFormat="1" applyFont="1" applyFill="1"/>
    <xf numFmtId="167" fontId="5" fillId="3" borderId="0" xfId="0" applyNumberFormat="1" applyFont="1" applyFill="1"/>
    <xf numFmtId="166" fontId="5" fillId="3" borderId="0" xfId="0" applyNumberFormat="1" applyFont="1" applyFill="1" applyAlignment="1">
      <alignment horizontal="centerContinuous"/>
    </xf>
    <xf numFmtId="0" fontId="15" fillId="3" borderId="0" xfId="0" applyFont="1" applyFill="1" applyAlignment="1">
      <alignment horizontal="centerContinuous"/>
    </xf>
    <xf numFmtId="169" fontId="5" fillId="3" borderId="0" xfId="0" applyNumberFormat="1" applyFont="1" applyFill="1"/>
    <xf numFmtId="170" fontId="3" fillId="3" borderId="0" xfId="0" applyNumberFormat="1" applyFont="1" applyFill="1"/>
    <xf numFmtId="167" fontId="3" fillId="3" borderId="0" xfId="0" applyNumberFormat="1" applyFont="1" applyFill="1"/>
    <xf numFmtId="9" fontId="3" fillId="3" borderId="0" xfId="0" applyNumberFormat="1" applyFont="1" applyFill="1"/>
    <xf numFmtId="0" fontId="9" fillId="3" borderId="0" xfId="0" applyFont="1" applyFill="1"/>
    <xf numFmtId="164" fontId="21" fillId="3" borderId="0" xfId="0" applyNumberFormat="1" applyFont="1" applyFill="1"/>
    <xf numFmtId="0" fontId="56" fillId="3" borderId="0" xfId="0" applyFont="1" applyFill="1"/>
    <xf numFmtId="0" fontId="23" fillId="3" borderId="0" xfId="0" applyFont="1" applyFill="1"/>
    <xf numFmtId="0" fontId="57" fillId="3" borderId="0" xfId="0" applyFont="1" applyFill="1"/>
    <xf numFmtId="0" fontId="58" fillId="3" borderId="0" xfId="0" applyFont="1" applyFill="1"/>
    <xf numFmtId="166" fontId="58" fillId="3" borderId="0" xfId="0" applyNumberFormat="1" applyFont="1" applyFill="1"/>
    <xf numFmtId="14" fontId="23" fillId="3" borderId="0" xfId="0" applyNumberFormat="1" applyFont="1" applyFill="1"/>
    <xf numFmtId="10" fontId="23" fillId="3" borderId="0" xfId="0" applyNumberFormat="1" applyFont="1" applyFill="1"/>
    <xf numFmtId="9" fontId="23" fillId="3" borderId="0" xfId="0" applyNumberFormat="1" applyFont="1" applyFill="1"/>
    <xf numFmtId="0" fontId="59" fillId="3" borderId="0" xfId="0" applyFont="1" applyFill="1" applyAlignment="1">
      <alignment horizontal="center" vertical="center" wrapText="1"/>
    </xf>
    <xf numFmtId="0" fontId="14" fillId="5" borderId="0" xfId="0" applyFont="1" applyFill="1" applyAlignment="1">
      <alignment horizontal="center"/>
    </xf>
    <xf numFmtId="0" fontId="14" fillId="6" borderId="0" xfId="0" applyFont="1" applyFill="1" applyAlignment="1">
      <alignment horizontal="center"/>
    </xf>
    <xf numFmtId="166" fontId="27" fillId="6" borderId="0" xfId="0" applyNumberFormat="1" applyFont="1" applyFill="1" applyAlignment="1">
      <alignment horizontal="center"/>
    </xf>
    <xf numFmtId="166" fontId="3" fillId="0" borderId="0" xfId="0" applyNumberFormat="1" applyFont="1" applyAlignment="1">
      <alignment horizontal="center" textRotation="180"/>
    </xf>
    <xf numFmtId="166" fontId="5" fillId="0" borderId="1" xfId="0" applyNumberFormat="1" applyFont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27" fillId="5" borderId="0" xfId="0" applyFont="1" applyFill="1" applyAlignment="1">
      <alignment horizontal="center"/>
    </xf>
    <xf numFmtId="164" fontId="27" fillId="5" borderId="0" xfId="0" applyNumberFormat="1" applyFont="1" applyFill="1" applyAlignment="1">
      <alignment horizontal="center"/>
    </xf>
    <xf numFmtId="165" fontId="27" fillId="5" borderId="0" xfId="0" applyNumberFormat="1" applyFont="1" applyFill="1" applyAlignment="1">
      <alignment horizontal="center"/>
    </xf>
    <xf numFmtId="0" fontId="14" fillId="3" borderId="0" xfId="0" applyFont="1" applyFill="1" applyAlignment="1">
      <alignment horizontal="center"/>
    </xf>
    <xf numFmtId="166" fontId="27" fillId="3" borderId="0" xfId="0" applyNumberFormat="1" applyFont="1" applyFill="1" applyAlignment="1">
      <alignment horizontal="center"/>
    </xf>
    <xf numFmtId="166" fontId="3" fillId="3" borderId="0" xfId="0" applyNumberFormat="1" applyFont="1" applyFill="1" applyAlignment="1">
      <alignment horizontal="center" textRotation="180"/>
    </xf>
    <xf numFmtId="166" fontId="5" fillId="3" borderId="0" xfId="0" applyNumberFormat="1" applyFont="1" applyFill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eetMetadata" Target="metadata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b="1"/>
              <a:t>Valuation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tockChart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Summary!$H$6:$K$6</c:f>
              <c:strCache>
                <c:ptCount val="4"/>
                <c:pt idx="0">
                  <c:v>Comp </c:v>
                </c:pt>
                <c:pt idx="1">
                  <c:v>DCF</c:v>
                </c:pt>
                <c:pt idx="2">
                  <c:v>52-week hi/Lo</c:v>
                </c:pt>
                <c:pt idx="3">
                  <c:v>Consenses</c:v>
                </c:pt>
              </c:strCache>
            </c:strRef>
          </c:cat>
          <c:val>
            <c:numRef>
              <c:f>Summary!$H$7:$K$7</c:f>
              <c:numCache>
                <c:formatCode>#,##0;\(#,##0\);"-"</c:formatCode>
                <c:ptCount val="4"/>
                <c:pt idx="0">
                  <c:v>6501.9702197399893</c:v>
                </c:pt>
                <c:pt idx="1">
                  <c:v>5987.1571042188634</c:v>
                </c:pt>
                <c:pt idx="2">
                  <c:v>5192.6000000000004</c:v>
                </c:pt>
                <c:pt idx="3">
                  <c:v>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D1D-4DD0-9873-9900EA62D48D}"/>
            </c:ext>
          </c:extLst>
        </c:ser>
        <c:ser>
          <c:idx val="1"/>
          <c:order val="1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Summary!$H$6:$K$6</c:f>
              <c:strCache>
                <c:ptCount val="4"/>
                <c:pt idx="0">
                  <c:v>Comp </c:v>
                </c:pt>
                <c:pt idx="1">
                  <c:v>DCF</c:v>
                </c:pt>
                <c:pt idx="2">
                  <c:v>52-week hi/Lo</c:v>
                </c:pt>
                <c:pt idx="3">
                  <c:v>Consenses</c:v>
                </c:pt>
              </c:strCache>
            </c:strRef>
          </c:cat>
          <c:val>
            <c:numRef>
              <c:f>Summary!$H$8:$K$8</c:f>
              <c:numCache>
                <c:formatCode>#,##0;\(#,##0\);"-"</c:formatCode>
                <c:ptCount val="4"/>
                <c:pt idx="0">
                  <c:v>6501.9702197399893</c:v>
                </c:pt>
                <c:pt idx="1">
                  <c:v>5987.1571042188634</c:v>
                </c:pt>
                <c:pt idx="2">
                  <c:v>5192.6000000000004</c:v>
                </c:pt>
                <c:pt idx="3">
                  <c:v>5500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D1D-4DD0-9873-9900EA62D48D}"/>
            </c:ext>
          </c:extLst>
        </c:ser>
        <c:ser>
          <c:idx val="2"/>
          <c:order val="2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delete val="1"/>
          </c:dLbls>
          <c:cat>
            <c:strRef>
              <c:f>Summary!$H$6:$K$6</c:f>
              <c:strCache>
                <c:ptCount val="4"/>
                <c:pt idx="0">
                  <c:v>Comp </c:v>
                </c:pt>
                <c:pt idx="1">
                  <c:v>DCF</c:v>
                </c:pt>
                <c:pt idx="2">
                  <c:v>52-week hi/Lo</c:v>
                </c:pt>
                <c:pt idx="3">
                  <c:v>Consenses</c:v>
                </c:pt>
              </c:strCache>
            </c:strRef>
          </c:cat>
          <c:val>
            <c:numRef>
              <c:f>Summary!$H$9:$K$9</c:f>
              <c:numCache>
                <c:formatCode>#,##0;\(#,##0\);"-"</c:formatCode>
                <c:ptCount val="4"/>
                <c:pt idx="0">
                  <c:v>4914.840151657907</c:v>
                </c:pt>
                <c:pt idx="1">
                  <c:v>4351.9199391725506</c:v>
                </c:pt>
                <c:pt idx="2">
                  <c:v>2975.5</c:v>
                </c:pt>
                <c:pt idx="3">
                  <c:v>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D1D-4DD0-9873-9900EA62D48D}"/>
            </c:ext>
          </c:extLst>
        </c:ser>
        <c:ser>
          <c:idx val="3"/>
          <c:order val="3"/>
          <c:spPr>
            <a:ln w="19050" cap="rnd">
              <a:noFill/>
              <a:round/>
            </a:ln>
            <a:effectLst/>
          </c:spPr>
          <c:marker>
            <c:symbol val="none"/>
          </c:marker>
          <c:dLbls>
            <c:numFmt formatCode="&quot;₹&quot;\ #,##0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Summary!$H$6:$K$6</c:f>
              <c:strCache>
                <c:ptCount val="4"/>
                <c:pt idx="0">
                  <c:v>Comp </c:v>
                </c:pt>
                <c:pt idx="1">
                  <c:v>DCF</c:v>
                </c:pt>
                <c:pt idx="2">
                  <c:v>52-week hi/Lo</c:v>
                </c:pt>
                <c:pt idx="3">
                  <c:v>Consenses</c:v>
                </c:pt>
              </c:strCache>
            </c:strRef>
          </c:cat>
          <c:val>
            <c:numRef>
              <c:f>Summary!$H$10:$K$10</c:f>
              <c:numCache>
                <c:formatCode>#,##0;\(#,##0\);"-"</c:formatCode>
                <c:ptCount val="4"/>
                <c:pt idx="0">
                  <c:v>4914.840151657907</c:v>
                </c:pt>
                <c:pt idx="1">
                  <c:v>4351.9199391725506</c:v>
                </c:pt>
                <c:pt idx="2">
                  <c:v>2975.5</c:v>
                </c:pt>
                <c:pt idx="3">
                  <c:v>4800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D1D-4DD0-9873-9900EA62D48D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 cap="flat" cmpd="sng" algn="ctr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</c:hiLowLines>
        <c:upDownBars>
          <c:gapWidth val="70"/>
          <c:upBars>
            <c:spPr>
              <a:solidFill>
                <a:schemeClr val="lt1"/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downBars>
        </c:upDownBars>
        <c:axId val="1303321471"/>
        <c:axId val="1303320991"/>
      </c:stockChart>
      <c:catAx>
        <c:axId val="1303321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20991"/>
        <c:crosses val="autoZero"/>
        <c:auto val="1"/>
        <c:lblAlgn val="ctr"/>
        <c:lblOffset val="100"/>
        <c:noMultiLvlLbl val="0"/>
      </c:catAx>
      <c:valAx>
        <c:axId val="1303320991"/>
        <c:scaling>
          <c:orientation val="minMax"/>
          <c:min val="2000"/>
        </c:scaling>
        <c:delete val="0"/>
        <c:axPos val="l"/>
        <c:numFmt formatCode="#,##0;\(#,##0\);&quot;-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03321471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279065</xdr:colOff>
      <xdr:row>12</xdr:row>
      <xdr:rowOff>149057</xdr:rowOff>
    </xdr:from>
    <xdr:to>
      <xdr:col>9</xdr:col>
      <xdr:colOff>66841</xdr:colOff>
      <xdr:row>28</xdr:row>
      <xdr:rowOff>100262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8968CB-C9BC-21C6-74FA-ACB8F78E90F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768684</xdr:colOff>
      <xdr:row>20</xdr:row>
      <xdr:rowOff>41777</xdr:rowOff>
    </xdr:from>
    <xdr:to>
      <xdr:col>8</xdr:col>
      <xdr:colOff>777040</xdr:colOff>
      <xdr:row>20</xdr:row>
      <xdr:rowOff>50132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2021861B-1EC7-2296-7772-D57FDFD3E76C}"/>
            </a:ext>
          </a:extLst>
        </xdr:cNvPr>
        <xdr:cNvCxnSpPr/>
      </xdr:nvCxnSpPr>
      <xdr:spPr>
        <a:xfrm>
          <a:off x="1044408" y="4620461"/>
          <a:ext cx="5740066" cy="8355"/>
        </a:xfrm>
        <a:prstGeom prst="line">
          <a:avLst/>
        </a:prstGeom>
        <a:ln w="9525">
          <a:solidFill>
            <a:schemeClr val="accent2">
              <a:lumMod val="75000"/>
            </a:schemeClr>
          </a:solidFill>
          <a:prstDash val="dash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6C1423-B8F8-468C-8F86-7608ECAB13DA}">
  <dimension ref="A3:K41"/>
  <sheetViews>
    <sheetView showGridLines="0" topLeftCell="A19" zoomScale="74" workbookViewId="0">
      <selection activeCell="C11" sqref="C11"/>
    </sheetView>
  </sheetViews>
  <sheetFormatPr defaultRowHeight="15.5" x14ac:dyDescent="0.35"/>
  <cols>
    <col min="1" max="1" width="8.7265625" style="13"/>
    <col min="2" max="2" width="87.08984375" style="13" bestFit="1" customWidth="1"/>
    <col min="3" max="7" width="11.6328125" style="13" customWidth="1"/>
    <col min="8" max="8" width="9.90625" style="13" bestFit="1" customWidth="1"/>
    <col min="9" max="10" width="8.7265625" style="13"/>
    <col min="11" max="11" width="9.90625" style="13" bestFit="1" customWidth="1"/>
    <col min="12" max="16384" width="8.7265625" style="13"/>
  </cols>
  <sheetData>
    <row r="3" spans="1:8" x14ac:dyDescent="0.35">
      <c r="C3" s="30">
        <v>2019</v>
      </c>
      <c r="D3" s="30">
        <f>C3+1</f>
        <v>2020</v>
      </c>
      <c r="E3" s="30">
        <f t="shared" ref="E3:G3" si="0">D3+1</f>
        <v>2021</v>
      </c>
      <c r="F3" s="30">
        <f t="shared" si="0"/>
        <v>2022</v>
      </c>
      <c r="G3" s="30">
        <f t="shared" si="0"/>
        <v>2023</v>
      </c>
    </row>
    <row r="4" spans="1:8" x14ac:dyDescent="0.35">
      <c r="A4" s="14">
        <v>1</v>
      </c>
      <c r="B4" s="20" t="s">
        <v>73</v>
      </c>
    </row>
    <row r="5" spans="1:8" x14ac:dyDescent="0.35">
      <c r="A5" s="12" t="s">
        <v>14</v>
      </c>
      <c r="B5" s="13" t="s">
        <v>77</v>
      </c>
      <c r="C5" s="15">
        <v>73571.899999999994</v>
      </c>
      <c r="D5" s="15">
        <v>83443.600000000006</v>
      </c>
      <c r="E5" s="15">
        <v>88650.1</v>
      </c>
      <c r="F5" s="15">
        <v>106341.9</v>
      </c>
      <c r="G5" s="15">
        <v>115992.6</v>
      </c>
    </row>
    <row r="6" spans="1:8" x14ac:dyDescent="0.35">
      <c r="A6" s="12" t="s">
        <v>15</v>
      </c>
      <c r="B6" s="13" t="s">
        <v>78</v>
      </c>
      <c r="C6" s="13">
        <v>877</v>
      </c>
      <c r="D6" s="15">
        <v>1042.2</v>
      </c>
      <c r="E6" s="15">
        <v>2332.1</v>
      </c>
      <c r="F6" s="15">
        <v>1626.5</v>
      </c>
      <c r="G6" s="15">
        <v>2160.8000000000002</v>
      </c>
    </row>
    <row r="7" spans="1:8" x14ac:dyDescent="0.35">
      <c r="A7" s="12"/>
      <c r="B7" s="16" t="s">
        <v>74</v>
      </c>
      <c r="C7" s="18">
        <v>74448.899999999994</v>
      </c>
      <c r="D7" s="18">
        <v>84485.8</v>
      </c>
      <c r="E7" s="18">
        <v>90982.2</v>
      </c>
      <c r="F7" s="18">
        <v>107968.4</v>
      </c>
      <c r="G7" s="18">
        <v>118153.4</v>
      </c>
    </row>
    <row r="8" spans="1:8" x14ac:dyDescent="0.35">
      <c r="A8" s="14">
        <v>2</v>
      </c>
      <c r="B8" s="21" t="s">
        <v>75</v>
      </c>
    </row>
    <row r="9" spans="1:8" x14ac:dyDescent="0.35">
      <c r="A9" s="12" t="s">
        <v>14</v>
      </c>
      <c r="B9" s="13" t="s">
        <v>79</v>
      </c>
      <c r="C9" s="15">
        <v>18111.400000000001</v>
      </c>
      <c r="D9" s="15">
        <v>21318.3</v>
      </c>
      <c r="E9" s="15">
        <v>23945.4</v>
      </c>
      <c r="F9" s="15">
        <v>32260.6</v>
      </c>
      <c r="G9" s="15">
        <v>30569.200000000001</v>
      </c>
      <c r="H9" s="15"/>
    </row>
    <row r="10" spans="1:8" x14ac:dyDescent="0.35">
      <c r="A10" s="12" t="s">
        <v>15</v>
      </c>
      <c r="B10" s="13" t="s">
        <v>80</v>
      </c>
      <c r="C10" s="15">
        <v>11301.9</v>
      </c>
      <c r="D10" s="15">
        <v>14430.6</v>
      </c>
      <c r="E10" s="15">
        <v>14377.6</v>
      </c>
      <c r="F10" s="15">
        <v>14897.1</v>
      </c>
      <c r="G10" s="15">
        <v>13875.5</v>
      </c>
    </row>
    <row r="11" spans="1:8" x14ac:dyDescent="0.35">
      <c r="A11" s="12" t="s">
        <v>16</v>
      </c>
      <c r="B11" s="13" t="s">
        <v>102</v>
      </c>
      <c r="C11" s="13">
        <v>36.4</v>
      </c>
      <c r="D11" s="15">
        <v>-2299.5</v>
      </c>
      <c r="E11" s="15">
        <v>-3338.4</v>
      </c>
      <c r="F11" s="15">
        <v>-5354.8</v>
      </c>
      <c r="G11" s="15">
        <v>4623.7</v>
      </c>
    </row>
    <row r="12" spans="1:8" x14ac:dyDescent="0.35">
      <c r="A12" s="12" t="s">
        <v>17</v>
      </c>
      <c r="B12" s="13" t="s">
        <v>81</v>
      </c>
      <c r="C12" s="15">
        <v>13624.6</v>
      </c>
      <c r="D12" s="15">
        <v>15054.9</v>
      </c>
      <c r="E12" s="15">
        <v>16210.3</v>
      </c>
      <c r="F12" s="15">
        <v>19627.099999999999</v>
      </c>
      <c r="G12" s="15">
        <v>21313.5</v>
      </c>
    </row>
    <row r="13" spans="1:8" x14ac:dyDescent="0.35">
      <c r="A13" s="12" t="s">
        <v>18</v>
      </c>
      <c r="B13" s="13" t="s">
        <v>82</v>
      </c>
      <c r="C13" s="13">
        <v>546.29999999999995</v>
      </c>
      <c r="D13" s="13">
        <v>650.6</v>
      </c>
      <c r="E13" s="13">
        <v>589.20000000000005</v>
      </c>
      <c r="F13" s="13">
        <v>523.70000000000005</v>
      </c>
      <c r="G13" s="15">
        <v>1073.5999999999999</v>
      </c>
    </row>
    <row r="14" spans="1:8" x14ac:dyDescent="0.35">
      <c r="A14" s="12" t="s">
        <v>22</v>
      </c>
      <c r="B14" s="13" t="s">
        <v>83</v>
      </c>
      <c r="C14" s="15">
        <v>1931.8</v>
      </c>
      <c r="D14" s="15">
        <v>2527.6</v>
      </c>
      <c r="E14" s="15">
        <v>2745.8</v>
      </c>
      <c r="F14" s="15">
        <v>3039.6</v>
      </c>
      <c r="G14" s="15">
        <v>3104.2</v>
      </c>
    </row>
    <row r="15" spans="1:8" x14ac:dyDescent="0.35">
      <c r="A15" s="12" t="s">
        <v>19</v>
      </c>
      <c r="B15" s="13" t="s">
        <v>84</v>
      </c>
      <c r="C15" s="15">
        <v>19349.900000000001</v>
      </c>
      <c r="D15" s="15">
        <v>20205.400000000001</v>
      </c>
      <c r="E15" s="15">
        <v>18031.3</v>
      </c>
      <c r="F15" s="15">
        <v>24382.7</v>
      </c>
      <c r="G15" s="15">
        <v>29516.2</v>
      </c>
    </row>
    <row r="16" spans="1:8" x14ac:dyDescent="0.35">
      <c r="A16" s="12"/>
      <c r="B16" s="16" t="s">
        <v>76</v>
      </c>
      <c r="C16" s="18">
        <v>64902.3</v>
      </c>
      <c r="D16" s="18">
        <f>SUM(D9:D15)</f>
        <v>71887.899999999994</v>
      </c>
      <c r="E16" s="18">
        <v>72561.2</v>
      </c>
      <c r="F16" s="18">
        <v>89376</v>
      </c>
      <c r="G16" s="18">
        <v>104075.9</v>
      </c>
      <c r="H16" s="15"/>
    </row>
    <row r="17" spans="1:11" x14ac:dyDescent="0.35">
      <c r="A17" s="14">
        <v>3</v>
      </c>
      <c r="B17" s="21" t="s">
        <v>85</v>
      </c>
      <c r="C17" s="24">
        <f>C7-C16</f>
        <v>9546.5999999999913</v>
      </c>
      <c r="D17" s="18">
        <f>D7-D16</f>
        <v>12597.900000000009</v>
      </c>
      <c r="E17" s="18">
        <v>18421</v>
      </c>
      <c r="F17" s="18">
        <v>18592.400000000001</v>
      </c>
      <c r="G17" s="18">
        <v>14077.5</v>
      </c>
      <c r="H17" s="15"/>
      <c r="J17" s="19"/>
    </row>
    <row r="18" spans="1:11" x14ac:dyDescent="0.35">
      <c r="A18" s="14">
        <v>4</v>
      </c>
      <c r="B18" s="21" t="s">
        <v>86</v>
      </c>
      <c r="C18" s="17">
        <v>0</v>
      </c>
      <c r="D18" s="22">
        <v>0</v>
      </c>
      <c r="E18" s="23">
        <v>0</v>
      </c>
      <c r="F18" s="22">
        <v>-149.6</v>
      </c>
      <c r="G18" s="18">
        <v>-1029.8</v>
      </c>
      <c r="K18" s="16"/>
    </row>
    <row r="19" spans="1:11" x14ac:dyDescent="0.35">
      <c r="A19" s="14">
        <v>5</v>
      </c>
      <c r="B19" s="21" t="s">
        <v>87</v>
      </c>
      <c r="C19" s="18">
        <f>C17+C18</f>
        <v>9546.5999999999913</v>
      </c>
      <c r="D19" s="18">
        <f>SUM(D17:D18)</f>
        <v>12597.900000000009</v>
      </c>
      <c r="E19" s="18">
        <v>18421</v>
      </c>
      <c r="F19" s="18">
        <v>18442.8</v>
      </c>
      <c r="G19" s="18">
        <v>13047.7</v>
      </c>
      <c r="K19" s="15"/>
    </row>
    <row r="20" spans="1:11" x14ac:dyDescent="0.35">
      <c r="A20" s="14">
        <v>6</v>
      </c>
      <c r="B20" s="21" t="s">
        <v>88</v>
      </c>
    </row>
    <row r="21" spans="1:11" x14ac:dyDescent="0.35">
      <c r="A21" s="12" t="s">
        <v>14</v>
      </c>
      <c r="B21" s="13" t="s">
        <v>99</v>
      </c>
      <c r="C21" s="15">
        <v>2291.6999999999998</v>
      </c>
      <c r="D21" s="15">
        <v>3542.5</v>
      </c>
      <c r="E21" s="15">
        <v>3965.3</v>
      </c>
      <c r="F21" s="15">
        <v>3619.8</v>
      </c>
      <c r="G21" s="15">
        <v>2739</v>
      </c>
    </row>
    <row r="22" spans="1:11" x14ac:dyDescent="0.35">
      <c r="A22" s="12" t="s">
        <v>15</v>
      </c>
      <c r="B22" s="13" t="s">
        <v>100</v>
      </c>
      <c r="C22" s="13">
        <v>-481.5</v>
      </c>
      <c r="D22" s="15">
        <v>-2123.9</v>
      </c>
      <c r="E22" s="15">
        <v>-1722</v>
      </c>
      <c r="F22" s="15">
        <v>-1980.2</v>
      </c>
      <c r="G22" s="13">
        <v>240.6</v>
      </c>
    </row>
    <row r="23" spans="1:11" x14ac:dyDescent="0.35">
      <c r="A23" s="12"/>
      <c r="B23" s="16" t="s">
        <v>89</v>
      </c>
      <c r="C23" s="15">
        <v>1810.2</v>
      </c>
      <c r="D23" s="15">
        <v>1418.6</v>
      </c>
      <c r="E23" s="15">
        <v>2243.3000000000002</v>
      </c>
      <c r="F23" s="15">
        <v>1639.6</v>
      </c>
      <c r="G23" s="15">
        <v>2979.6</v>
      </c>
    </row>
    <row r="24" spans="1:11" x14ac:dyDescent="0.35">
      <c r="A24" s="12" t="s">
        <v>16</v>
      </c>
      <c r="B24" s="13" t="s">
        <v>109</v>
      </c>
      <c r="C24" s="13">
        <v>0</v>
      </c>
      <c r="D24" s="15">
        <v>-313.8</v>
      </c>
      <c r="E24" s="15">
        <v>0</v>
      </c>
      <c r="F24" s="15">
        <v>0</v>
      </c>
      <c r="G24" s="15">
        <v>0</v>
      </c>
    </row>
    <row r="25" spans="1:11" x14ac:dyDescent="0.35">
      <c r="A25" s="12"/>
      <c r="B25" s="16" t="s">
        <v>110</v>
      </c>
      <c r="C25" s="15">
        <v>1810.2</v>
      </c>
      <c r="D25" s="15">
        <f>SUM(D23:D24)</f>
        <v>1104.8</v>
      </c>
      <c r="E25" s="15">
        <f>SUM(E23:E24)</f>
        <v>2243.3000000000002</v>
      </c>
      <c r="F25" s="15">
        <f t="shared" ref="F25:G25" si="1">SUM(F23:F24)</f>
        <v>1639.6</v>
      </c>
      <c r="G25" s="15">
        <f t="shared" si="1"/>
        <v>2979.6</v>
      </c>
    </row>
    <row r="26" spans="1:11" x14ac:dyDescent="0.35">
      <c r="A26" s="14">
        <v>7</v>
      </c>
      <c r="B26" s="21" t="s">
        <v>90</v>
      </c>
      <c r="C26" s="18">
        <v>7736.4</v>
      </c>
      <c r="D26" s="18">
        <v>11493.1</v>
      </c>
      <c r="E26" s="18">
        <v>16177.7</v>
      </c>
      <c r="F26" s="18">
        <v>16803.2</v>
      </c>
      <c r="G26" s="18">
        <v>10068.1</v>
      </c>
    </row>
    <row r="27" spans="1:11" x14ac:dyDescent="0.35">
      <c r="A27" s="14">
        <v>8</v>
      </c>
      <c r="B27" s="21" t="s">
        <v>91</v>
      </c>
      <c r="C27" s="13">
        <v>131.30000000000001</v>
      </c>
      <c r="D27" s="13">
        <v>222.4</v>
      </c>
      <c r="E27" s="13">
        <v>327.5</v>
      </c>
      <c r="F27" s="13">
        <v>347</v>
      </c>
      <c r="G27" s="13">
        <v>226.4</v>
      </c>
      <c r="K27" s="15"/>
    </row>
    <row r="28" spans="1:11" x14ac:dyDescent="0.35">
      <c r="A28" s="14">
        <v>9</v>
      </c>
      <c r="B28" s="21" t="s">
        <v>92</v>
      </c>
      <c r="C28" s="19">
        <v>7605.1</v>
      </c>
      <c r="D28" s="15">
        <f>D26-D27</f>
        <v>11270.7</v>
      </c>
      <c r="E28" s="19">
        <v>15850.2</v>
      </c>
      <c r="F28" s="19">
        <v>16456.2</v>
      </c>
      <c r="G28" s="19">
        <v>9841.7000000000007</v>
      </c>
    </row>
    <row r="29" spans="1:11" x14ac:dyDescent="0.35">
      <c r="A29" s="14">
        <v>10</v>
      </c>
      <c r="B29" s="21" t="s">
        <v>93</v>
      </c>
    </row>
    <row r="30" spans="1:11" x14ac:dyDescent="0.35">
      <c r="A30" s="12" t="s">
        <v>14</v>
      </c>
      <c r="B30" s="13" t="s">
        <v>97</v>
      </c>
      <c r="C30" s="13">
        <v>-69.400000000000006</v>
      </c>
      <c r="D30" s="13">
        <v>-280.89999999999998</v>
      </c>
      <c r="E30" s="13">
        <v>-89.2</v>
      </c>
      <c r="F30" s="13">
        <v>-90.9</v>
      </c>
      <c r="G30" s="13">
        <v>-48.7</v>
      </c>
    </row>
    <row r="31" spans="1:11" x14ac:dyDescent="0.35">
      <c r="A31" s="12"/>
      <c r="B31" s="13" t="s">
        <v>103</v>
      </c>
      <c r="C31" s="13">
        <v>23.7</v>
      </c>
      <c r="D31" s="13">
        <v>96.5</v>
      </c>
      <c r="E31" s="13">
        <v>29.9</v>
      </c>
      <c r="F31" s="13">
        <v>33.200000000000003</v>
      </c>
      <c r="G31" s="13">
        <v>16.100000000000001</v>
      </c>
    </row>
    <row r="32" spans="1:11" x14ac:dyDescent="0.35">
      <c r="A32" s="12" t="s">
        <v>15</v>
      </c>
      <c r="B32" s="13" t="s">
        <v>98</v>
      </c>
      <c r="C32" s="13">
        <v>355.7</v>
      </c>
      <c r="D32" s="13">
        <v>453</v>
      </c>
      <c r="E32" s="13">
        <v>-283.7</v>
      </c>
      <c r="F32" s="13">
        <v>399.1</v>
      </c>
      <c r="G32" s="15">
        <v>1181.5999999999999</v>
      </c>
    </row>
    <row r="33" spans="1:7" x14ac:dyDescent="0.35">
      <c r="A33" s="12"/>
      <c r="B33" s="13" t="s">
        <v>94</v>
      </c>
      <c r="C33" s="13">
        <v>0</v>
      </c>
      <c r="D33" s="13">
        <v>0</v>
      </c>
      <c r="E33" s="13">
        <v>0</v>
      </c>
      <c r="F33" s="13">
        <v>0</v>
      </c>
      <c r="G33" s="13">
        <v>0</v>
      </c>
    </row>
    <row r="34" spans="1:7" x14ac:dyDescent="0.35">
      <c r="A34" s="12"/>
      <c r="B34" s="16" t="s">
        <v>95</v>
      </c>
      <c r="C34" s="17">
        <v>310</v>
      </c>
      <c r="D34" s="17">
        <v>268.60000000000002</v>
      </c>
      <c r="E34" s="17">
        <v>-343</v>
      </c>
      <c r="F34" s="17">
        <v>341.4</v>
      </c>
      <c r="G34" s="18">
        <v>1149</v>
      </c>
    </row>
    <row r="35" spans="1:7" x14ac:dyDescent="0.35">
      <c r="A35" s="14">
        <v>11</v>
      </c>
      <c r="B35" s="21" t="s">
        <v>104</v>
      </c>
      <c r="C35" s="13">
        <v>-1.1000000000000001</v>
      </c>
      <c r="D35" s="13">
        <v>-5.4</v>
      </c>
      <c r="E35" s="13">
        <v>-3.4</v>
      </c>
      <c r="F35" s="13">
        <v>-4.0999999999999996</v>
      </c>
      <c r="G35" s="13">
        <v>-4.0999999999999996</v>
      </c>
    </row>
    <row r="36" spans="1:7" x14ac:dyDescent="0.35">
      <c r="A36" s="14">
        <v>12</v>
      </c>
      <c r="B36" s="21" t="s">
        <v>105</v>
      </c>
      <c r="C36" s="13">
        <v>311.10000000000002</v>
      </c>
      <c r="D36" s="13">
        <v>274</v>
      </c>
      <c r="E36" s="13">
        <v>-339.6</v>
      </c>
      <c r="F36" s="13">
        <v>345.5</v>
      </c>
      <c r="G36" s="15">
        <v>1153.0999999999999</v>
      </c>
    </row>
    <row r="37" spans="1:7" x14ac:dyDescent="0.35">
      <c r="A37" s="14">
        <v>13</v>
      </c>
      <c r="B37" s="21" t="s">
        <v>96</v>
      </c>
      <c r="C37" s="15">
        <v>8046.4</v>
      </c>
      <c r="D37" s="15">
        <v>11761.7</v>
      </c>
      <c r="E37" s="15">
        <v>15834.7</v>
      </c>
      <c r="F37" s="15">
        <v>17144.599999999999</v>
      </c>
      <c r="G37" s="15">
        <v>11217.1</v>
      </c>
    </row>
    <row r="38" spans="1:7" x14ac:dyDescent="0.35">
      <c r="A38" s="14">
        <v>14</v>
      </c>
      <c r="B38" s="21" t="s">
        <v>106</v>
      </c>
      <c r="C38" s="13">
        <v>130.19999999999999</v>
      </c>
      <c r="D38" s="13">
        <v>217</v>
      </c>
      <c r="E38" s="13">
        <v>324.10000000000002</v>
      </c>
      <c r="F38" s="13">
        <v>342.9</v>
      </c>
      <c r="G38" s="13">
        <v>222.3</v>
      </c>
    </row>
    <row r="39" spans="1:7" x14ac:dyDescent="0.35">
      <c r="A39" s="14">
        <v>15</v>
      </c>
      <c r="B39" s="21" t="s">
        <v>107</v>
      </c>
      <c r="C39" s="18">
        <v>7916.2</v>
      </c>
      <c r="D39" s="18">
        <v>11544.7</v>
      </c>
      <c r="E39" s="18">
        <v>15510.6</v>
      </c>
      <c r="F39" s="18">
        <v>16801.7</v>
      </c>
      <c r="G39" s="18">
        <v>10994.8</v>
      </c>
    </row>
    <row r="40" spans="1:7" x14ac:dyDescent="0.35">
      <c r="A40" s="14">
        <v>16</v>
      </c>
      <c r="B40" s="21" t="s">
        <v>101</v>
      </c>
    </row>
    <row r="41" spans="1:7" x14ac:dyDescent="0.35">
      <c r="B41" s="13" t="s">
        <v>108</v>
      </c>
      <c r="C41" s="25">
        <v>63.61</v>
      </c>
      <c r="D41" s="25">
        <v>94.26</v>
      </c>
      <c r="E41" s="25">
        <v>132.57</v>
      </c>
      <c r="F41" s="25">
        <v>137.63</v>
      </c>
      <c r="G41" s="25">
        <v>82.31</v>
      </c>
    </row>
  </sheetData>
  <pageMargins left="0.7" right="0.7" top="0.75" bottom="0.75" header="0.3" footer="0.3"/>
  <ignoredErrors>
    <ignoredError sqref="D25 E25:G25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3A0AF-9D61-4E69-BE93-9DF15D95EB6C}">
  <dimension ref="A1:I65"/>
  <sheetViews>
    <sheetView showGridLines="0" topLeftCell="A40" workbookViewId="0">
      <selection activeCell="C50" sqref="C50"/>
    </sheetView>
  </sheetViews>
  <sheetFormatPr defaultRowHeight="14.5" x14ac:dyDescent="0.35"/>
  <cols>
    <col min="1" max="1" width="8.81640625" style="1" bestFit="1" customWidth="1"/>
    <col min="2" max="2" width="63.7265625" style="1" bestFit="1" customWidth="1"/>
    <col min="3" max="3" width="9" style="1" bestFit="1" customWidth="1"/>
    <col min="4" max="4" width="8.90625" style="1" bestFit="1" customWidth="1"/>
    <col min="5" max="5" width="10.54296875" style="1" bestFit="1" customWidth="1"/>
    <col min="6" max="7" width="10.453125" style="1" bestFit="1" customWidth="1"/>
    <col min="8" max="8" width="8.7265625" style="1"/>
    <col min="9" max="9" width="10.26953125" style="1" bestFit="1" customWidth="1"/>
    <col min="10" max="16384" width="8.7265625" style="1"/>
  </cols>
  <sheetData>
    <row r="1" spans="1:8" ht="18" x14ac:dyDescent="0.4">
      <c r="A1" s="229" t="s">
        <v>72</v>
      </c>
      <c r="B1" s="229"/>
      <c r="C1" s="229"/>
      <c r="D1" s="229"/>
      <c r="E1" s="229"/>
      <c r="F1" s="229"/>
      <c r="G1" s="229"/>
      <c r="H1" s="229"/>
    </row>
    <row r="3" spans="1:8" x14ac:dyDescent="0.35">
      <c r="C3" s="2">
        <v>2019</v>
      </c>
      <c r="D3" s="2">
        <f>C3+1</f>
        <v>2020</v>
      </c>
      <c r="E3" s="2">
        <f t="shared" ref="E3:G3" si="0">D3+1</f>
        <v>2021</v>
      </c>
      <c r="F3" s="2">
        <f t="shared" si="0"/>
        <v>2022</v>
      </c>
      <c r="G3" s="2">
        <f t="shared" si="0"/>
        <v>2023</v>
      </c>
    </row>
    <row r="4" spans="1:8" x14ac:dyDescent="0.35">
      <c r="A4" s="3" t="s">
        <v>57</v>
      </c>
      <c r="B4" s="1" t="s">
        <v>0</v>
      </c>
    </row>
    <row r="5" spans="1:8" x14ac:dyDescent="0.35">
      <c r="A5" s="4">
        <v>1</v>
      </c>
      <c r="B5" s="1" t="s">
        <v>1</v>
      </c>
    </row>
    <row r="6" spans="1:8" x14ac:dyDescent="0.35">
      <c r="A6" s="5" t="s">
        <v>14</v>
      </c>
      <c r="B6" s="1" t="s">
        <v>23</v>
      </c>
      <c r="C6" s="6">
        <v>21056.2</v>
      </c>
      <c r="D6" s="6">
        <v>23062.9</v>
      </c>
      <c r="E6" s="6">
        <v>22339.3</v>
      </c>
      <c r="F6" s="6">
        <v>22871</v>
      </c>
      <c r="G6" s="6">
        <v>20654</v>
      </c>
    </row>
    <row r="7" spans="1:8" x14ac:dyDescent="0.35">
      <c r="A7" s="5" t="s">
        <v>15</v>
      </c>
      <c r="B7" s="1" t="s">
        <v>24</v>
      </c>
      <c r="C7" s="1">
        <v>0</v>
      </c>
      <c r="D7" s="1">
        <v>0</v>
      </c>
      <c r="E7" s="1">
        <v>0</v>
      </c>
      <c r="F7" s="6">
        <v>1393.5</v>
      </c>
      <c r="G7" s="6">
        <v>1378.5</v>
      </c>
    </row>
    <row r="8" spans="1:8" x14ac:dyDescent="0.35">
      <c r="A8" s="5" t="s">
        <v>16</v>
      </c>
      <c r="B8" s="1" t="s">
        <v>25</v>
      </c>
      <c r="C8" s="6">
        <v>4929.6000000000004</v>
      </c>
      <c r="D8" s="6">
        <v>3629.7</v>
      </c>
      <c r="E8" s="6">
        <v>3932.8</v>
      </c>
      <c r="F8" s="6">
        <v>3394.8</v>
      </c>
      <c r="G8" s="6">
        <v>3102.7</v>
      </c>
    </row>
    <row r="9" spans="1:8" x14ac:dyDescent="0.35">
      <c r="A9" s="5" t="s">
        <v>17</v>
      </c>
      <c r="B9" s="1" t="s">
        <v>26</v>
      </c>
      <c r="C9" s="1">
        <v>231.5</v>
      </c>
      <c r="D9" s="1">
        <v>259.3</v>
      </c>
      <c r="E9" s="6">
        <v>3953.9</v>
      </c>
      <c r="F9" s="6">
        <v>4030.9</v>
      </c>
      <c r="G9" s="6">
        <v>4131.7</v>
      </c>
    </row>
    <row r="10" spans="1:8" x14ac:dyDescent="0.35">
      <c r="A10" s="5" t="s">
        <v>18</v>
      </c>
      <c r="B10" s="1" t="s">
        <v>69</v>
      </c>
      <c r="C10" s="6">
        <v>3574.1</v>
      </c>
      <c r="D10" s="6">
        <v>3725.2</v>
      </c>
      <c r="E10" s="6">
        <v>0</v>
      </c>
      <c r="F10" s="6">
        <v>0</v>
      </c>
      <c r="G10" s="6">
        <v>0</v>
      </c>
    </row>
    <row r="11" spans="1:8" x14ac:dyDescent="0.35">
      <c r="A11" s="5" t="s">
        <v>22</v>
      </c>
      <c r="B11" s="1" t="s">
        <v>27</v>
      </c>
      <c r="C11" s="1">
        <v>442.6</v>
      </c>
      <c r="D11" s="6">
        <v>2032.7</v>
      </c>
      <c r="E11" s="6">
        <v>1636.6</v>
      </c>
      <c r="F11" s="1">
        <v>721.9</v>
      </c>
      <c r="G11" s="1">
        <v>664.1</v>
      </c>
    </row>
    <row r="12" spans="1:8" x14ac:dyDescent="0.35">
      <c r="A12" s="5" t="s">
        <v>19</v>
      </c>
      <c r="B12" s="1" t="s">
        <v>28</v>
      </c>
      <c r="C12" s="1">
        <v>0</v>
      </c>
      <c r="D12" s="6">
        <v>0</v>
      </c>
      <c r="E12" s="6">
        <v>0</v>
      </c>
      <c r="F12" s="1">
        <v>0</v>
      </c>
      <c r="G12" s="1">
        <v>129.69999999999999</v>
      </c>
    </row>
    <row r="13" spans="1:8" x14ac:dyDescent="0.35">
      <c r="A13" s="5" t="s">
        <v>30</v>
      </c>
      <c r="B13" s="1" t="s">
        <v>29</v>
      </c>
    </row>
    <row r="14" spans="1:8" x14ac:dyDescent="0.35">
      <c r="A14" s="5"/>
      <c r="B14" s="1" t="s">
        <v>2</v>
      </c>
      <c r="C14" s="1">
        <v>957.4</v>
      </c>
      <c r="D14" s="1">
        <v>915</v>
      </c>
      <c r="E14" s="6">
        <v>1539.5</v>
      </c>
      <c r="F14" s="6">
        <v>2316.6999999999998</v>
      </c>
      <c r="G14" s="6">
        <v>3046.1</v>
      </c>
    </row>
    <row r="15" spans="1:8" x14ac:dyDescent="0.35">
      <c r="B15" s="1" t="s">
        <v>3</v>
      </c>
      <c r="C15" s="1">
        <v>136.30000000000001</v>
      </c>
      <c r="D15" s="1">
        <v>106.1</v>
      </c>
      <c r="E15" s="1">
        <v>80.2</v>
      </c>
      <c r="F15" s="1">
        <v>80.2</v>
      </c>
      <c r="G15" s="1">
        <v>80.2</v>
      </c>
    </row>
    <row r="16" spans="1:8" x14ac:dyDescent="0.35">
      <c r="B16" s="1" t="s">
        <v>4</v>
      </c>
      <c r="C16" s="1">
        <v>462</v>
      </c>
      <c r="D16" s="1">
        <v>466.8</v>
      </c>
      <c r="E16" s="1">
        <v>607.9</v>
      </c>
      <c r="F16" s="6">
        <v>7106.7</v>
      </c>
      <c r="G16" s="6">
        <v>2952.5</v>
      </c>
    </row>
    <row r="17" spans="1:9" x14ac:dyDescent="0.35">
      <c r="A17" s="5" t="s">
        <v>20</v>
      </c>
      <c r="B17" s="1" t="s">
        <v>31</v>
      </c>
      <c r="C17" s="6">
        <v>7076.3</v>
      </c>
      <c r="D17" s="6">
        <v>9325.7000000000007</v>
      </c>
      <c r="E17" s="6">
        <v>11079.1</v>
      </c>
      <c r="F17" s="6">
        <v>13092.6</v>
      </c>
      <c r="G17" s="6">
        <v>13025</v>
      </c>
    </row>
    <row r="18" spans="1:9" x14ac:dyDescent="0.35">
      <c r="A18" s="5" t="s">
        <v>21</v>
      </c>
      <c r="B18" s="1" t="s">
        <v>32</v>
      </c>
      <c r="C18" s="1">
        <v>392.7</v>
      </c>
      <c r="D18" s="1">
        <v>419.5</v>
      </c>
      <c r="E18" s="1">
        <v>171.1</v>
      </c>
      <c r="F18" s="1">
        <v>533.1</v>
      </c>
      <c r="G18" s="1">
        <v>575.4</v>
      </c>
    </row>
    <row r="19" spans="1:9" x14ac:dyDescent="0.35">
      <c r="A19" s="5" t="s">
        <v>70</v>
      </c>
      <c r="B19" s="1" t="s">
        <v>33</v>
      </c>
      <c r="C19" s="2">
        <v>661.9</v>
      </c>
      <c r="D19" s="2">
        <v>530.1</v>
      </c>
      <c r="E19" s="2">
        <v>564</v>
      </c>
      <c r="F19" s="2">
        <v>796.2</v>
      </c>
      <c r="G19" s="2">
        <v>529.6</v>
      </c>
    </row>
    <row r="20" spans="1:9" x14ac:dyDescent="0.35">
      <c r="B20" s="4" t="s">
        <v>5</v>
      </c>
      <c r="C20" s="7">
        <v>39920.6</v>
      </c>
      <c r="D20" s="7">
        <v>44473</v>
      </c>
      <c r="E20" s="7">
        <v>45904.4</v>
      </c>
      <c r="F20" s="7">
        <v>56337.599999999999</v>
      </c>
      <c r="G20" s="7">
        <v>50269.5</v>
      </c>
    </row>
    <row r="21" spans="1:9" x14ac:dyDescent="0.35">
      <c r="A21" s="4">
        <v>2</v>
      </c>
      <c r="B21" s="1" t="s">
        <v>6</v>
      </c>
    </row>
    <row r="22" spans="1:9" x14ac:dyDescent="0.35">
      <c r="A22" s="5" t="s">
        <v>14</v>
      </c>
      <c r="B22" s="1" t="s">
        <v>36</v>
      </c>
      <c r="C22" s="6">
        <v>14998.7</v>
      </c>
      <c r="D22" s="6">
        <v>18188.2</v>
      </c>
      <c r="E22" s="6">
        <v>23124.400000000001</v>
      </c>
      <c r="F22" s="6">
        <v>30055.3</v>
      </c>
      <c r="G22" s="6">
        <v>26075.3</v>
      </c>
    </row>
    <row r="23" spans="1:9" x14ac:dyDescent="0.35">
      <c r="A23" s="5" t="s">
        <v>15</v>
      </c>
      <c r="B23" s="1" t="s">
        <v>29</v>
      </c>
      <c r="I23" s="6">
        <f>'BALANCE SHEET'!C14+'BALANCE SHEET'!C15+'BALANCE SHEET'!C16+'BALANCE SHEET'!C28+'BALANCE SHEET'!C29+'BALANCE SHEET'!C32+'BALANCE SHEET'!C24</f>
        <v>5324.4000000000005</v>
      </c>
    </row>
    <row r="24" spans="1:9" x14ac:dyDescent="0.35">
      <c r="A24" s="5"/>
      <c r="B24" s="1" t="s">
        <v>2</v>
      </c>
      <c r="C24" s="6">
        <v>2278.8000000000002</v>
      </c>
      <c r="D24" s="6">
        <v>1698.9</v>
      </c>
      <c r="E24" s="6">
        <v>1788.3</v>
      </c>
      <c r="F24" s="6">
        <v>1393.1</v>
      </c>
      <c r="G24" s="6">
        <v>3172.1</v>
      </c>
      <c r="I24" s="6"/>
    </row>
    <row r="25" spans="1:9" x14ac:dyDescent="0.35">
      <c r="A25" s="5"/>
      <c r="B25" s="1" t="s">
        <v>7</v>
      </c>
      <c r="C25" s="6">
        <v>12484.1</v>
      </c>
      <c r="D25" s="6">
        <v>16493.599999999999</v>
      </c>
      <c r="E25" s="6">
        <v>16072.1</v>
      </c>
      <c r="F25" s="6">
        <v>18846</v>
      </c>
      <c r="G25" s="6">
        <v>21321.8</v>
      </c>
    </row>
    <row r="26" spans="1:9" x14ac:dyDescent="0.35">
      <c r="A26" s="5"/>
      <c r="B26" s="1" t="s">
        <v>8</v>
      </c>
      <c r="C26" s="6">
        <v>2490.5</v>
      </c>
      <c r="D26" s="6">
        <v>1759.4</v>
      </c>
      <c r="E26" s="6">
        <v>1742.2</v>
      </c>
      <c r="F26" s="6">
        <v>2321.8000000000002</v>
      </c>
      <c r="G26" s="6">
        <v>2738</v>
      </c>
    </row>
    <row r="27" spans="1:9" x14ac:dyDescent="0.35">
      <c r="A27" s="5"/>
      <c r="B27" s="1" t="s">
        <v>9</v>
      </c>
      <c r="C27" s="6">
        <v>4125.5</v>
      </c>
      <c r="D27" s="6">
        <v>9162.7000000000007</v>
      </c>
      <c r="E27" s="6">
        <v>18162.3</v>
      </c>
      <c r="F27" s="6">
        <v>23464</v>
      </c>
      <c r="G27" s="6">
        <v>23430.9</v>
      </c>
    </row>
    <row r="28" spans="1:9" x14ac:dyDescent="0.35">
      <c r="A28" s="5"/>
      <c r="B28" s="1" t="s">
        <v>10</v>
      </c>
      <c r="C28" s="1">
        <v>308</v>
      </c>
      <c r="D28" s="1">
        <v>279.7</v>
      </c>
      <c r="E28" s="1">
        <v>187.3</v>
      </c>
      <c r="F28" s="1">
        <v>202.5</v>
      </c>
      <c r="G28" s="1">
        <v>67.7</v>
      </c>
    </row>
    <row r="29" spans="1:9" x14ac:dyDescent="0.35">
      <c r="A29" s="5"/>
      <c r="B29" s="1" t="s">
        <v>11</v>
      </c>
      <c r="C29" s="6">
        <v>1064.5999999999999</v>
      </c>
      <c r="D29" s="6">
        <v>1931</v>
      </c>
      <c r="E29" s="6">
        <v>2606</v>
      </c>
      <c r="F29" s="6">
        <v>1731.5</v>
      </c>
      <c r="G29" s="6">
        <v>1897.5</v>
      </c>
    </row>
    <row r="30" spans="1:9" x14ac:dyDescent="0.35">
      <c r="A30" s="5" t="s">
        <v>16</v>
      </c>
      <c r="B30" s="1" t="s">
        <v>34</v>
      </c>
      <c r="C30" s="8">
        <v>4293.8</v>
      </c>
      <c r="D30" s="8">
        <v>5266</v>
      </c>
      <c r="E30" s="8">
        <v>5550.1</v>
      </c>
      <c r="F30" s="8">
        <v>6322.8</v>
      </c>
      <c r="G30" s="8">
        <v>7360.9</v>
      </c>
    </row>
    <row r="31" spans="1:9" x14ac:dyDescent="0.35">
      <c r="A31" s="5"/>
      <c r="C31" s="6">
        <v>42044</v>
      </c>
      <c r="D31" s="6">
        <v>54779.5</v>
      </c>
      <c r="E31" s="6">
        <v>69232.7</v>
      </c>
      <c r="F31" s="6">
        <v>84337</v>
      </c>
      <c r="G31" s="6">
        <v>86064.2</v>
      </c>
    </row>
    <row r="32" spans="1:9" x14ac:dyDescent="0.35">
      <c r="A32" s="5" t="s">
        <v>17</v>
      </c>
      <c r="B32" s="1" t="s">
        <v>35</v>
      </c>
      <c r="C32" s="1">
        <v>117.3</v>
      </c>
      <c r="D32" s="1">
        <v>180.8</v>
      </c>
      <c r="E32" s="1">
        <v>55.5</v>
      </c>
      <c r="F32" s="1">
        <v>17.3</v>
      </c>
      <c r="G32" s="6">
        <v>1232.5999999999999</v>
      </c>
    </row>
    <row r="33" spans="1:7" x14ac:dyDescent="0.35">
      <c r="B33" s="1" t="s">
        <v>12</v>
      </c>
      <c r="C33" s="8">
        <v>42161.3</v>
      </c>
      <c r="D33" s="8">
        <v>54960.3</v>
      </c>
      <c r="E33" s="8">
        <v>69288.2</v>
      </c>
      <c r="F33" s="8">
        <v>84354.3</v>
      </c>
      <c r="G33" s="8">
        <v>87296.8</v>
      </c>
    </row>
    <row r="34" spans="1:7" x14ac:dyDescent="0.35">
      <c r="B34" s="4" t="s">
        <v>13</v>
      </c>
      <c r="C34" s="7">
        <v>82081.899999999994</v>
      </c>
      <c r="D34" s="7">
        <v>99433.3</v>
      </c>
      <c r="E34" s="7">
        <v>115192.6</v>
      </c>
      <c r="F34" s="7">
        <v>140691.9</v>
      </c>
      <c r="G34" s="7">
        <v>137566.29999999999</v>
      </c>
    </row>
    <row r="35" spans="1:7" x14ac:dyDescent="0.35">
      <c r="A35" s="5" t="s">
        <v>58</v>
      </c>
      <c r="B35" s="1" t="s">
        <v>37</v>
      </c>
    </row>
    <row r="36" spans="1:7" x14ac:dyDescent="0.35">
      <c r="A36" s="1">
        <v>1</v>
      </c>
      <c r="B36" s="1" t="s">
        <v>59</v>
      </c>
    </row>
    <row r="37" spans="1:7" x14ac:dyDescent="0.35">
      <c r="A37" s="5" t="s">
        <v>14</v>
      </c>
      <c r="B37" s="1" t="s">
        <v>38</v>
      </c>
      <c r="C37" s="1">
        <v>239.1</v>
      </c>
      <c r="D37" s="1">
        <v>239.1</v>
      </c>
      <c r="E37" s="1">
        <v>239.1</v>
      </c>
      <c r="F37" s="1">
        <v>239.1</v>
      </c>
      <c r="G37" s="1">
        <v>239.1</v>
      </c>
    </row>
    <row r="38" spans="1:7" x14ac:dyDescent="0.35">
      <c r="A38" s="5" t="s">
        <v>15</v>
      </c>
      <c r="B38" s="1" t="s">
        <v>39</v>
      </c>
      <c r="C38" s="6">
        <v>54154.3</v>
      </c>
      <c r="D38" s="6">
        <v>61367.6</v>
      </c>
      <c r="E38" s="6">
        <v>73528.2</v>
      </c>
      <c r="F38" s="6">
        <v>86139.9</v>
      </c>
      <c r="G38" s="6">
        <v>90213.8</v>
      </c>
    </row>
    <row r="39" spans="1:7" x14ac:dyDescent="0.35">
      <c r="A39" s="5"/>
      <c r="B39" s="1" t="s">
        <v>40</v>
      </c>
      <c r="C39" s="6">
        <v>54393.4</v>
      </c>
      <c r="D39" s="6">
        <v>61606.7</v>
      </c>
      <c r="E39" s="6">
        <v>73767.3</v>
      </c>
      <c r="F39" s="6">
        <v>86379</v>
      </c>
      <c r="G39" s="6">
        <v>90452.9</v>
      </c>
    </row>
    <row r="40" spans="1:7" x14ac:dyDescent="0.35">
      <c r="A40" s="5" t="s">
        <v>16</v>
      </c>
      <c r="B40" s="1" t="s">
        <v>41</v>
      </c>
      <c r="C40" s="6">
        <v>1326.1</v>
      </c>
      <c r="D40" s="6">
        <v>1483</v>
      </c>
      <c r="E40" s="6">
        <v>1812.8</v>
      </c>
      <c r="F40" s="6">
        <v>2094.3000000000002</v>
      </c>
      <c r="G40" s="6">
        <v>3897.1</v>
      </c>
    </row>
    <row r="41" spans="1:7" x14ac:dyDescent="0.35">
      <c r="A41" s="5"/>
      <c r="B41" s="4" t="s">
        <v>42</v>
      </c>
      <c r="C41" s="9">
        <v>55719.5</v>
      </c>
      <c r="D41" s="9">
        <v>63089.7</v>
      </c>
      <c r="E41" s="9">
        <v>75580.100000000006</v>
      </c>
      <c r="F41" s="9">
        <v>88473.3</v>
      </c>
      <c r="G41" s="9">
        <v>94350</v>
      </c>
    </row>
    <row r="42" spans="1:7" x14ac:dyDescent="0.35">
      <c r="A42" s="5">
        <v>2</v>
      </c>
      <c r="B42" s="1" t="s">
        <v>43</v>
      </c>
    </row>
    <row r="43" spans="1:7" x14ac:dyDescent="0.35">
      <c r="A43" s="5" t="s">
        <v>60</v>
      </c>
      <c r="B43" s="1" t="s">
        <v>44</v>
      </c>
    </row>
    <row r="44" spans="1:7" x14ac:dyDescent="0.35">
      <c r="A44" s="5" t="s">
        <v>14</v>
      </c>
      <c r="B44" s="1" t="s">
        <v>45</v>
      </c>
    </row>
    <row r="45" spans="1:7" x14ac:dyDescent="0.35">
      <c r="A45" s="5"/>
      <c r="B45" s="1" t="s">
        <v>46</v>
      </c>
      <c r="C45" s="6">
        <v>2313</v>
      </c>
      <c r="D45" s="6">
        <v>1592.4</v>
      </c>
      <c r="E45" s="1">
        <v>279.3</v>
      </c>
      <c r="F45" s="1">
        <v>93.8</v>
      </c>
      <c r="G45" s="1">
        <v>0</v>
      </c>
    </row>
    <row r="46" spans="1:7" x14ac:dyDescent="0.35">
      <c r="A46" s="5"/>
      <c r="B46" s="1" t="s">
        <v>47</v>
      </c>
      <c r="C46" s="1">
        <v>0</v>
      </c>
      <c r="D46" s="1">
        <v>0</v>
      </c>
      <c r="E46" s="1">
        <v>697.1</v>
      </c>
      <c r="F46" s="1">
        <v>664.7</v>
      </c>
      <c r="G46" s="1">
        <v>703.3</v>
      </c>
    </row>
    <row r="47" spans="1:7" x14ac:dyDescent="0.35">
      <c r="A47" s="5"/>
      <c r="B47" s="1" t="s">
        <v>48</v>
      </c>
      <c r="C47" s="1">
        <v>0</v>
      </c>
      <c r="D47" s="1">
        <v>0</v>
      </c>
      <c r="E47" s="1">
        <v>0</v>
      </c>
      <c r="F47" s="1">
        <v>0</v>
      </c>
      <c r="G47" s="6">
        <v>1660.1</v>
      </c>
    </row>
    <row r="48" spans="1:7" x14ac:dyDescent="0.35">
      <c r="A48" s="5" t="s">
        <v>15</v>
      </c>
      <c r="B48" s="1" t="s">
        <v>61</v>
      </c>
      <c r="C48" s="6">
        <v>1737.2</v>
      </c>
      <c r="D48" s="6">
        <v>2220.4</v>
      </c>
      <c r="E48" s="6">
        <v>2507.3000000000002</v>
      </c>
      <c r="F48" s="6">
        <v>3327.5</v>
      </c>
      <c r="G48" s="6">
        <v>3693.6</v>
      </c>
    </row>
    <row r="49" spans="1:7" x14ac:dyDescent="0.35">
      <c r="A49" s="5" t="s">
        <v>16</v>
      </c>
      <c r="B49" s="1" t="s">
        <v>62</v>
      </c>
      <c r="C49" s="1">
        <v>133.9</v>
      </c>
      <c r="D49" s="1">
        <v>97.7</v>
      </c>
      <c r="E49" s="1">
        <v>88.3</v>
      </c>
      <c r="F49" s="1">
        <v>79.2</v>
      </c>
      <c r="G49" s="1">
        <v>88</v>
      </c>
    </row>
    <row r="50" spans="1:7" x14ac:dyDescent="0.35">
      <c r="A50" s="5" t="s">
        <v>17</v>
      </c>
      <c r="B50" s="1" t="s">
        <v>71</v>
      </c>
      <c r="C50" s="1">
        <v>3</v>
      </c>
      <c r="D50" s="1">
        <v>0</v>
      </c>
      <c r="E50" s="1">
        <v>0</v>
      </c>
      <c r="F50" s="1">
        <v>0</v>
      </c>
      <c r="G50" s="1">
        <v>0</v>
      </c>
    </row>
    <row r="51" spans="1:7" x14ac:dyDescent="0.35">
      <c r="A51" s="5"/>
      <c r="B51" s="4" t="s">
        <v>49</v>
      </c>
      <c r="C51" s="9">
        <v>4187.1000000000004</v>
      </c>
      <c r="D51" s="9">
        <v>3910.5</v>
      </c>
      <c r="E51" s="10">
        <v>3572</v>
      </c>
      <c r="F51" s="9">
        <v>4165.2</v>
      </c>
      <c r="G51" s="9">
        <v>6145</v>
      </c>
    </row>
    <row r="52" spans="1:7" x14ac:dyDescent="0.35">
      <c r="A52" s="5" t="s">
        <v>63</v>
      </c>
      <c r="B52" s="1" t="s">
        <v>64</v>
      </c>
    </row>
    <row r="53" spans="1:7" x14ac:dyDescent="0.35">
      <c r="A53" s="5" t="s">
        <v>14</v>
      </c>
      <c r="B53" s="1" t="s">
        <v>67</v>
      </c>
    </row>
    <row r="54" spans="1:7" x14ac:dyDescent="0.35">
      <c r="A54" s="5"/>
      <c r="B54" s="1" t="s">
        <v>46</v>
      </c>
      <c r="C54" s="6">
        <v>6712.7</v>
      </c>
      <c r="D54" s="6">
        <v>15035.1</v>
      </c>
      <c r="E54" s="6">
        <v>16727.900000000001</v>
      </c>
      <c r="F54" s="6">
        <v>25707.4</v>
      </c>
      <c r="G54" s="6">
        <v>13071.5</v>
      </c>
    </row>
    <row r="55" spans="1:7" x14ac:dyDescent="0.35">
      <c r="A55" s="5"/>
      <c r="B55" s="1" t="s">
        <v>47</v>
      </c>
      <c r="C55" s="1">
        <v>0</v>
      </c>
      <c r="D55" s="1">
        <v>0</v>
      </c>
      <c r="E55" s="1">
        <v>215.5</v>
      </c>
      <c r="F55" s="1">
        <v>216</v>
      </c>
      <c r="G55" s="1">
        <v>192</v>
      </c>
    </row>
    <row r="56" spans="1:7" x14ac:dyDescent="0.35">
      <c r="A56" s="5"/>
      <c r="B56" s="1" t="s">
        <v>50</v>
      </c>
    </row>
    <row r="57" spans="1:7" x14ac:dyDescent="0.35">
      <c r="A57" s="5"/>
      <c r="B57" s="1" t="s">
        <v>51</v>
      </c>
      <c r="C57" s="1">
        <v>606.29999999999995</v>
      </c>
      <c r="D57" s="6">
        <v>1025</v>
      </c>
      <c r="E57" s="6">
        <v>1189.5999999999999</v>
      </c>
      <c r="F57" s="1">
        <v>924.2</v>
      </c>
      <c r="G57" s="6">
        <v>1104.5999999999999</v>
      </c>
    </row>
    <row r="58" spans="1:7" x14ac:dyDescent="0.35">
      <c r="A58" s="5"/>
      <c r="B58" s="1" t="s">
        <v>52</v>
      </c>
      <c r="C58" s="6">
        <v>9016.2000000000007</v>
      </c>
      <c r="D58" s="6">
        <v>8515.5</v>
      </c>
      <c r="E58" s="6">
        <v>9504.5</v>
      </c>
      <c r="F58" s="6">
        <v>10809.6</v>
      </c>
      <c r="G58" s="6">
        <v>10545.7</v>
      </c>
    </row>
    <row r="59" spans="1:7" x14ac:dyDescent="0.35">
      <c r="A59" s="5"/>
      <c r="B59" s="1" t="s">
        <v>53</v>
      </c>
      <c r="C59" s="6">
        <v>3428.7</v>
      </c>
      <c r="D59" s="6">
        <v>4519.6000000000004</v>
      </c>
      <c r="E59" s="6">
        <v>4653.8999999999996</v>
      </c>
      <c r="F59" s="6">
        <v>5993.8</v>
      </c>
      <c r="G59" s="6">
        <v>6326.9</v>
      </c>
    </row>
    <row r="60" spans="1:7" x14ac:dyDescent="0.35">
      <c r="A60" s="5" t="s">
        <v>15</v>
      </c>
      <c r="B60" s="1" t="s">
        <v>65</v>
      </c>
      <c r="C60" s="1">
        <v>852.1</v>
      </c>
      <c r="D60" s="6">
        <v>1035.0999999999999</v>
      </c>
      <c r="E60" s="6">
        <v>1193.4000000000001</v>
      </c>
      <c r="F60" s="6">
        <v>1503.2</v>
      </c>
      <c r="G60" s="6">
        <v>1868.9</v>
      </c>
    </row>
    <row r="61" spans="1:7" x14ac:dyDescent="0.35">
      <c r="A61" s="5" t="s">
        <v>16</v>
      </c>
      <c r="B61" s="1" t="s">
        <v>61</v>
      </c>
      <c r="C61" s="6">
        <v>1538.2</v>
      </c>
      <c r="D61" s="6">
        <v>1847</v>
      </c>
      <c r="E61" s="6">
        <v>2366.4</v>
      </c>
      <c r="F61" s="6">
        <v>2736</v>
      </c>
      <c r="G61" s="6">
        <v>3727.5</v>
      </c>
    </row>
    <row r="62" spans="1:7" x14ac:dyDescent="0.35">
      <c r="A62" s="5" t="s">
        <v>17</v>
      </c>
      <c r="B62" s="1" t="s">
        <v>66</v>
      </c>
      <c r="C62" s="1">
        <v>21.1</v>
      </c>
      <c r="D62" s="1">
        <v>455.8</v>
      </c>
      <c r="E62" s="1">
        <v>189.3</v>
      </c>
      <c r="F62" s="1">
        <v>163.19999999999999</v>
      </c>
      <c r="G62" s="1">
        <v>234.4</v>
      </c>
    </row>
    <row r="63" spans="1:7" x14ac:dyDescent="0.35">
      <c r="B63" s="4" t="s">
        <v>54</v>
      </c>
      <c r="C63" s="9">
        <v>22175.3</v>
      </c>
      <c r="D63" s="9">
        <v>32433.1</v>
      </c>
      <c r="E63" s="9">
        <v>36040.5</v>
      </c>
      <c r="F63" s="9">
        <v>48053.4</v>
      </c>
      <c r="G63" s="9">
        <v>37071.5</v>
      </c>
    </row>
    <row r="64" spans="1:7" x14ac:dyDescent="0.35">
      <c r="B64" s="4" t="s">
        <v>55</v>
      </c>
      <c r="C64" s="9">
        <v>26362.400000000001</v>
      </c>
      <c r="D64" s="9">
        <v>36343.599999999999</v>
      </c>
      <c r="E64" s="9">
        <v>39612.5</v>
      </c>
      <c r="F64" s="9">
        <v>52218.6</v>
      </c>
      <c r="G64" s="9">
        <v>43216.5</v>
      </c>
    </row>
    <row r="65" spans="2:7" ht="15" thickBot="1" x14ac:dyDescent="0.4">
      <c r="B65" s="4" t="s">
        <v>56</v>
      </c>
      <c r="C65" s="11">
        <v>82081.899999999994</v>
      </c>
      <c r="D65" s="11">
        <v>99433.3</v>
      </c>
      <c r="E65" s="11">
        <v>115192.6</v>
      </c>
      <c r="F65" s="11">
        <v>140691.9</v>
      </c>
      <c r="G65" s="11">
        <v>137566.5</v>
      </c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B29F9-E487-4895-A9D1-8E15044E29A0}">
  <dimension ref="A3:I55"/>
  <sheetViews>
    <sheetView showGridLines="0" topLeftCell="A17" workbookViewId="0">
      <selection activeCell="C29" sqref="C29"/>
    </sheetView>
  </sheetViews>
  <sheetFormatPr defaultRowHeight="14.5" x14ac:dyDescent="0.35"/>
  <cols>
    <col min="1" max="1" width="8.7265625" style="1"/>
    <col min="2" max="2" width="83.90625" style="1" bestFit="1" customWidth="1"/>
    <col min="3" max="7" width="11.6328125" style="1" customWidth="1"/>
    <col min="8" max="16384" width="8.7265625" style="1"/>
  </cols>
  <sheetData>
    <row r="3" spans="1:7" x14ac:dyDescent="0.35">
      <c r="C3" s="2">
        <v>2019</v>
      </c>
      <c r="D3" s="2">
        <f>1+C3</f>
        <v>2020</v>
      </c>
      <c r="E3" s="2">
        <f t="shared" ref="E3:G3" si="0">1+D3</f>
        <v>2021</v>
      </c>
      <c r="F3" s="2">
        <f t="shared" si="0"/>
        <v>2022</v>
      </c>
      <c r="G3" s="2">
        <f t="shared" si="0"/>
        <v>2023</v>
      </c>
    </row>
    <row r="4" spans="1:7" x14ac:dyDescent="0.35">
      <c r="A4" s="5" t="s">
        <v>133</v>
      </c>
      <c r="B4" s="26" t="s">
        <v>111</v>
      </c>
    </row>
    <row r="5" spans="1:7" x14ac:dyDescent="0.35">
      <c r="B5" s="1" t="s">
        <v>112</v>
      </c>
      <c r="C5" s="6">
        <v>9546.6</v>
      </c>
      <c r="D5" s="6">
        <v>12597.9</v>
      </c>
      <c r="E5" s="6">
        <v>18421</v>
      </c>
      <c r="F5" s="6">
        <v>18442.8</v>
      </c>
      <c r="G5" s="6">
        <v>13047.7</v>
      </c>
    </row>
    <row r="6" spans="1:7" x14ac:dyDescent="0.35">
      <c r="B6" s="26" t="s">
        <v>113</v>
      </c>
    </row>
    <row r="7" spans="1:7" x14ac:dyDescent="0.35">
      <c r="B7" s="1" t="s">
        <v>83</v>
      </c>
      <c r="C7" s="6">
        <v>1931.8</v>
      </c>
      <c r="D7" s="6">
        <v>2527.6</v>
      </c>
      <c r="E7" s="6">
        <v>2745.8</v>
      </c>
      <c r="F7" s="6">
        <v>3039.6</v>
      </c>
      <c r="G7" s="6">
        <v>3104.2</v>
      </c>
    </row>
    <row r="8" spans="1:7" x14ac:dyDescent="0.35">
      <c r="B8" s="1" t="s">
        <v>114</v>
      </c>
      <c r="C8" s="1">
        <v>0</v>
      </c>
      <c r="D8" s="1">
        <v>0</v>
      </c>
      <c r="E8" s="1">
        <v>0</v>
      </c>
      <c r="F8" s="1">
        <v>-160.1</v>
      </c>
      <c r="G8" s="1">
        <v>-17.5</v>
      </c>
    </row>
    <row r="9" spans="1:7" x14ac:dyDescent="0.35">
      <c r="B9" s="1" t="s">
        <v>115</v>
      </c>
      <c r="C9" s="1">
        <v>-73.3</v>
      </c>
      <c r="D9" s="1">
        <v>-0.8</v>
      </c>
      <c r="E9" s="1">
        <v>-102.6</v>
      </c>
      <c r="F9" s="1">
        <v>-33.799999999999997</v>
      </c>
      <c r="G9" s="1">
        <v>-21.6</v>
      </c>
    </row>
    <row r="10" spans="1:7" x14ac:dyDescent="0.35">
      <c r="B10" s="1" t="s">
        <v>116</v>
      </c>
      <c r="C10" s="1">
        <v>45.5</v>
      </c>
      <c r="D10" s="1">
        <v>172.2</v>
      </c>
      <c r="E10" s="1">
        <v>-266.89999999999998</v>
      </c>
      <c r="F10" s="1">
        <v>69</v>
      </c>
      <c r="G10" s="1">
        <v>-287</v>
      </c>
    </row>
    <row r="11" spans="1:7" x14ac:dyDescent="0.35">
      <c r="B11" s="1" t="s">
        <v>117</v>
      </c>
      <c r="C11" s="1">
        <v>54.8</v>
      </c>
      <c r="D11" s="1">
        <v>-12.6</v>
      </c>
      <c r="E11" s="1">
        <v>-37</v>
      </c>
      <c r="F11" s="1">
        <v>14.3</v>
      </c>
      <c r="G11" s="1">
        <v>123.6</v>
      </c>
    </row>
    <row r="12" spans="1:7" x14ac:dyDescent="0.35">
      <c r="B12" s="1" t="s">
        <v>162</v>
      </c>
      <c r="C12" s="1">
        <v>5.8</v>
      </c>
      <c r="D12" s="1">
        <v>1.5</v>
      </c>
      <c r="E12" s="1">
        <v>1.1000000000000001</v>
      </c>
      <c r="F12" s="1">
        <v>0</v>
      </c>
      <c r="G12" s="1">
        <v>0</v>
      </c>
    </row>
    <row r="13" spans="1:7" x14ac:dyDescent="0.35">
      <c r="B13" s="1" t="s">
        <v>165</v>
      </c>
      <c r="C13" s="1">
        <v>0</v>
      </c>
      <c r="D13" s="1">
        <v>0</v>
      </c>
      <c r="E13" s="1">
        <v>-114.9</v>
      </c>
      <c r="F13" s="1">
        <v>0</v>
      </c>
      <c r="G13" s="1">
        <v>0</v>
      </c>
    </row>
    <row r="14" spans="1:7" x14ac:dyDescent="0.35">
      <c r="B14" s="1" t="s">
        <v>118</v>
      </c>
      <c r="C14" s="1">
        <v>-113.8</v>
      </c>
      <c r="D14" s="1">
        <v>-275.39999999999998</v>
      </c>
      <c r="E14" s="1">
        <v>9.6999999999999993</v>
      </c>
      <c r="F14" s="1">
        <v>-177</v>
      </c>
      <c r="G14" s="1">
        <v>-118.8</v>
      </c>
    </row>
    <row r="15" spans="1:7" x14ac:dyDescent="0.35">
      <c r="B15" s="1" t="s">
        <v>119</v>
      </c>
      <c r="C15" s="1">
        <v>-1.2</v>
      </c>
      <c r="D15" s="1">
        <v>-1.1000000000000001</v>
      </c>
      <c r="E15" s="1">
        <v>-0.2</v>
      </c>
      <c r="F15" s="1">
        <v>-1.9</v>
      </c>
      <c r="G15" s="1">
        <v>-1.9</v>
      </c>
    </row>
    <row r="16" spans="1:7" x14ac:dyDescent="0.35">
      <c r="B16" s="1" t="s">
        <v>166</v>
      </c>
      <c r="C16" s="1">
        <v>0</v>
      </c>
      <c r="D16" s="1">
        <v>0</v>
      </c>
      <c r="E16" s="1">
        <v>-351</v>
      </c>
      <c r="F16" s="1">
        <v>0</v>
      </c>
      <c r="G16" s="1">
        <v>0</v>
      </c>
    </row>
    <row r="17" spans="2:7" x14ac:dyDescent="0.35">
      <c r="B17" s="1" t="s">
        <v>120</v>
      </c>
      <c r="C17" s="1">
        <v>0</v>
      </c>
      <c r="D17" s="1">
        <v>32.700000000000003</v>
      </c>
      <c r="E17" s="1">
        <v>0</v>
      </c>
      <c r="F17" s="1">
        <v>11.2</v>
      </c>
      <c r="G17" s="6">
        <v>1051.5</v>
      </c>
    </row>
    <row r="18" spans="2:7" x14ac:dyDescent="0.35">
      <c r="B18" s="1" t="s">
        <v>121</v>
      </c>
      <c r="C18" s="1">
        <v>-412.8</v>
      </c>
      <c r="D18" s="1">
        <v>-631.20000000000005</v>
      </c>
      <c r="E18" s="1">
        <v>-901.2</v>
      </c>
      <c r="F18" s="6">
        <v>-1226.8</v>
      </c>
      <c r="G18" s="6">
        <v>-1711.4</v>
      </c>
    </row>
    <row r="19" spans="2:7" x14ac:dyDescent="0.35">
      <c r="B19" s="1" t="s">
        <v>122</v>
      </c>
      <c r="C19" s="1">
        <v>546.29999999999995</v>
      </c>
      <c r="D19" s="1">
        <v>650.6</v>
      </c>
      <c r="E19" s="1">
        <v>589.20000000000005</v>
      </c>
      <c r="F19" s="1">
        <v>523.70000000000005</v>
      </c>
      <c r="G19" s="6">
        <v>1073.5999999999999</v>
      </c>
    </row>
    <row r="20" spans="2:7" x14ac:dyDescent="0.35">
      <c r="B20" s="1" t="s">
        <v>123</v>
      </c>
      <c r="C20" s="1">
        <v>185.9</v>
      </c>
      <c r="D20" s="1">
        <v>101.7</v>
      </c>
      <c r="E20" s="1">
        <v>82.8</v>
      </c>
      <c r="F20" s="1">
        <v>27.8</v>
      </c>
      <c r="G20" s="1">
        <v>48.8</v>
      </c>
    </row>
    <row r="21" spans="2:7" x14ac:dyDescent="0.35">
      <c r="B21" s="1" t="s">
        <v>163</v>
      </c>
      <c r="C21" s="1">
        <v>-5.3</v>
      </c>
      <c r="D21" s="1">
        <v>-6.5</v>
      </c>
      <c r="E21" s="1">
        <v>-8.4</v>
      </c>
    </row>
    <row r="22" spans="2:7" x14ac:dyDescent="0.35">
      <c r="B22" s="27" t="s">
        <v>124</v>
      </c>
      <c r="C22" s="6">
        <v>2163.6999999999998</v>
      </c>
      <c r="D22" s="6">
        <v>2558.6999999999998</v>
      </c>
      <c r="E22" s="6">
        <f>SUM(E7:E21)</f>
        <v>1646.3999999999999</v>
      </c>
      <c r="F22" s="6">
        <v>2086</v>
      </c>
      <c r="G22" s="6">
        <v>3243.5</v>
      </c>
    </row>
    <row r="23" spans="2:7" x14ac:dyDescent="0.35">
      <c r="B23" s="26" t="s">
        <v>125</v>
      </c>
      <c r="C23" s="9">
        <v>11710.3</v>
      </c>
      <c r="D23" s="9">
        <v>15156.6</v>
      </c>
      <c r="E23" s="9">
        <v>20067.400000000001</v>
      </c>
      <c r="F23" s="9">
        <v>20528.8</v>
      </c>
      <c r="G23" s="9">
        <v>16291.2</v>
      </c>
    </row>
    <row r="24" spans="2:7" x14ac:dyDescent="0.35">
      <c r="B24" s="1" t="s">
        <v>126</v>
      </c>
      <c r="E24" s="6"/>
    </row>
    <row r="25" spans="2:7" x14ac:dyDescent="0.35">
      <c r="B25" s="1" t="s">
        <v>127</v>
      </c>
      <c r="C25" s="6">
        <v>-1558.5</v>
      </c>
      <c r="D25" s="6">
        <v>-2574.4</v>
      </c>
      <c r="E25" s="1">
        <v>-257.60000000000002</v>
      </c>
      <c r="F25" s="6">
        <v>-2217.5</v>
      </c>
      <c r="G25" s="6">
        <v>-1347.1</v>
      </c>
    </row>
    <row r="26" spans="2:7" x14ac:dyDescent="0.35">
      <c r="B26" s="1" t="s">
        <v>128</v>
      </c>
      <c r="C26" s="1">
        <v>156.80000000000001</v>
      </c>
      <c r="D26" s="6">
        <v>-1538</v>
      </c>
      <c r="E26" s="1">
        <v>-926.5</v>
      </c>
      <c r="F26" s="1">
        <v>-435.8</v>
      </c>
      <c r="G26" s="1">
        <v>-770.1</v>
      </c>
    </row>
    <row r="27" spans="2:7" x14ac:dyDescent="0.35">
      <c r="B27" s="1" t="s">
        <v>129</v>
      </c>
      <c r="C27" s="1">
        <v>-373</v>
      </c>
      <c r="D27" s="6">
        <v>-2817.4</v>
      </c>
      <c r="E27" s="6">
        <v>-4977</v>
      </c>
      <c r="F27" s="6">
        <v>-6731.4</v>
      </c>
      <c r="G27" s="6">
        <v>4734.1000000000004</v>
      </c>
    </row>
    <row r="28" spans="2:7" x14ac:dyDescent="0.35">
      <c r="B28" s="1" t="s">
        <v>130</v>
      </c>
      <c r="C28" s="1">
        <v>-109.5</v>
      </c>
      <c r="D28" s="1">
        <v>-37.4</v>
      </c>
      <c r="E28" s="6">
        <v>2124.1999999999998</v>
      </c>
      <c r="F28" s="6">
        <v>3344.9</v>
      </c>
      <c r="G28" s="1">
        <v>145.1</v>
      </c>
    </row>
    <row r="29" spans="2:7" x14ac:dyDescent="0.35">
      <c r="B29" s="1" t="s">
        <v>131</v>
      </c>
      <c r="C29" s="1">
        <v>481.5</v>
      </c>
      <c r="D29" s="1">
        <v>495.2</v>
      </c>
      <c r="E29" s="1">
        <v>625.29999999999995</v>
      </c>
      <c r="F29" s="1">
        <v>590.20000000000005</v>
      </c>
      <c r="G29" s="1">
        <v>505.7</v>
      </c>
    </row>
    <row r="30" spans="2:7" x14ac:dyDescent="0.35">
      <c r="B30" s="4" t="s">
        <v>132</v>
      </c>
      <c r="C30" s="9">
        <v>-1402.7</v>
      </c>
      <c r="D30" s="9">
        <v>-6472</v>
      </c>
      <c r="E30" s="9">
        <v>-3411.6</v>
      </c>
      <c r="F30" s="9">
        <v>-5449.6</v>
      </c>
      <c r="G30" s="9">
        <v>3267.7</v>
      </c>
    </row>
    <row r="31" spans="2:7" x14ac:dyDescent="0.35">
      <c r="B31" s="1" t="s">
        <v>136</v>
      </c>
      <c r="C31" s="6">
        <v>10307.6</v>
      </c>
      <c r="D31" s="6">
        <v>8684.6</v>
      </c>
      <c r="E31" s="6">
        <v>16655.8</v>
      </c>
      <c r="F31" s="6">
        <v>15079.2</v>
      </c>
      <c r="G31" s="6">
        <v>19558.900000000001</v>
      </c>
    </row>
    <row r="32" spans="2:7" x14ac:dyDescent="0.35">
      <c r="B32" s="1" t="s">
        <v>137</v>
      </c>
      <c r="C32" s="6">
        <v>-2511.1</v>
      </c>
      <c r="D32" s="6">
        <v>-2833.8</v>
      </c>
      <c r="E32" s="6">
        <v>-4006.8</v>
      </c>
      <c r="F32" s="6">
        <v>-3969</v>
      </c>
      <c r="G32" s="6">
        <v>-2733.9</v>
      </c>
    </row>
    <row r="33" spans="1:9" x14ac:dyDescent="0.35">
      <c r="B33" s="4" t="s">
        <v>138</v>
      </c>
      <c r="C33" s="9">
        <v>7796.5</v>
      </c>
      <c r="D33" s="9">
        <v>5850.8</v>
      </c>
      <c r="E33" s="9">
        <v>12649</v>
      </c>
      <c r="F33" s="9">
        <v>11110.2</v>
      </c>
      <c r="G33" s="9">
        <v>16825</v>
      </c>
    </row>
    <row r="34" spans="1:9" x14ac:dyDescent="0.35">
      <c r="A34" s="5" t="s">
        <v>159</v>
      </c>
      <c r="B34" s="26" t="s">
        <v>139</v>
      </c>
    </row>
    <row r="35" spans="1:9" x14ac:dyDescent="0.35">
      <c r="B35" s="1" t="s">
        <v>140</v>
      </c>
      <c r="C35" s="6">
        <v>-5291.6</v>
      </c>
      <c r="D35" s="6">
        <v>-3630.9</v>
      </c>
      <c r="E35" s="6">
        <v>-1949.1</v>
      </c>
      <c r="F35" s="6">
        <v>-3388.8</v>
      </c>
      <c r="G35" s="6">
        <v>-2329.1</v>
      </c>
    </row>
    <row r="36" spans="1:9" x14ac:dyDescent="0.35">
      <c r="B36" s="1" t="s">
        <v>141</v>
      </c>
      <c r="C36" s="1">
        <v>22.3</v>
      </c>
      <c r="D36" s="1">
        <v>154.5</v>
      </c>
      <c r="E36" s="1">
        <v>104.6</v>
      </c>
      <c r="F36" s="1">
        <v>109</v>
      </c>
      <c r="G36" s="1">
        <v>32</v>
      </c>
    </row>
    <row r="37" spans="1:9" x14ac:dyDescent="0.35">
      <c r="B37" s="1" t="s">
        <v>142</v>
      </c>
      <c r="C37" s="6">
        <v>1234.7</v>
      </c>
      <c r="D37" s="1">
        <v>457.5</v>
      </c>
      <c r="E37" s="1">
        <v>-348.3</v>
      </c>
      <c r="F37" s="1">
        <v>-409.3</v>
      </c>
      <c r="G37" s="6">
        <v>-2175.3000000000002</v>
      </c>
    </row>
    <row r="38" spans="1:9" x14ac:dyDescent="0.35">
      <c r="B38" s="1" t="s">
        <v>166</v>
      </c>
      <c r="C38" s="6">
        <v>0</v>
      </c>
      <c r="D38" s="1">
        <v>0</v>
      </c>
      <c r="E38" s="1">
        <v>351</v>
      </c>
      <c r="F38" s="1">
        <v>0</v>
      </c>
      <c r="G38" s="6">
        <v>0</v>
      </c>
    </row>
    <row r="39" spans="1:9" x14ac:dyDescent="0.35">
      <c r="B39" s="1" t="s">
        <v>156</v>
      </c>
      <c r="C39" s="1">
        <v>427.5</v>
      </c>
      <c r="D39" s="6">
        <v>-4911.3999999999996</v>
      </c>
      <c r="E39" s="6">
        <v>-8937.9</v>
      </c>
      <c r="F39" s="6">
        <v>-11641.8</v>
      </c>
      <c r="G39" s="6">
        <v>4129.8</v>
      </c>
    </row>
    <row r="40" spans="1:9" x14ac:dyDescent="0.35">
      <c r="B40" s="1" t="s">
        <v>143</v>
      </c>
      <c r="C40" s="1">
        <v>1.2</v>
      </c>
      <c r="D40" s="1">
        <v>1.1000000000000001</v>
      </c>
      <c r="E40" s="1">
        <v>0.2</v>
      </c>
      <c r="F40" s="1">
        <v>1.9</v>
      </c>
      <c r="G40" s="1">
        <v>1.9</v>
      </c>
    </row>
    <row r="41" spans="1:9" x14ac:dyDescent="0.35">
      <c r="B41" s="1" t="s">
        <v>144</v>
      </c>
      <c r="C41" s="1">
        <v>436.7</v>
      </c>
      <c r="D41" s="1">
        <v>509.2</v>
      </c>
      <c r="E41" s="1">
        <v>785.7</v>
      </c>
      <c r="F41" s="1">
        <v>977.7</v>
      </c>
      <c r="G41" s="6">
        <v>1469.1</v>
      </c>
    </row>
    <row r="42" spans="1:9" x14ac:dyDescent="0.35">
      <c r="B42" s="1" t="s">
        <v>164</v>
      </c>
      <c r="C42" s="1">
        <v>5.3</v>
      </c>
      <c r="D42" s="1">
        <v>6.5</v>
      </c>
      <c r="E42" s="1">
        <v>8.4</v>
      </c>
      <c r="F42" s="1">
        <v>0</v>
      </c>
      <c r="G42" s="6">
        <v>0</v>
      </c>
    </row>
    <row r="43" spans="1:9" x14ac:dyDescent="0.35">
      <c r="B43" s="4" t="s">
        <v>145</v>
      </c>
      <c r="C43" s="9">
        <v>-3163.9</v>
      </c>
      <c r="D43" s="9">
        <v>-7413.5</v>
      </c>
      <c r="E43" s="9">
        <v>-9985.4</v>
      </c>
      <c r="F43" s="9">
        <v>-14351.3</v>
      </c>
      <c r="G43" s="9">
        <v>1128.4000000000001</v>
      </c>
    </row>
    <row r="44" spans="1:9" x14ac:dyDescent="0.35">
      <c r="A44" s="5" t="s">
        <v>160</v>
      </c>
      <c r="B44" s="26" t="s">
        <v>146</v>
      </c>
    </row>
    <row r="45" spans="1:9" x14ac:dyDescent="0.35">
      <c r="B45" s="1" t="s">
        <v>147</v>
      </c>
      <c r="C45" s="1">
        <v>-70.599999999999994</v>
      </c>
      <c r="D45" s="6">
        <v>-1810.5</v>
      </c>
      <c r="E45" s="1">
        <v>-387.4</v>
      </c>
      <c r="F45" s="1">
        <v>-192.9</v>
      </c>
      <c r="G45" s="1">
        <v>-95</v>
      </c>
    </row>
    <row r="46" spans="1:9" x14ac:dyDescent="0.35">
      <c r="B46" s="1" t="s">
        <v>148</v>
      </c>
      <c r="C46" s="1">
        <v>-986.7</v>
      </c>
      <c r="D46" s="6">
        <v>7841.2</v>
      </c>
      <c r="E46" s="6">
        <v>1784.2</v>
      </c>
      <c r="F46" s="6">
        <v>8820.7000000000007</v>
      </c>
      <c r="G46" s="6">
        <v>-12689.8</v>
      </c>
    </row>
    <row r="47" spans="1:9" x14ac:dyDescent="0.35">
      <c r="B47" s="1" t="s">
        <v>149</v>
      </c>
      <c r="C47" s="1">
        <v>0</v>
      </c>
      <c r="D47" s="1">
        <v>0</v>
      </c>
      <c r="E47" s="1">
        <v>0</v>
      </c>
      <c r="F47" s="1">
        <v>0</v>
      </c>
      <c r="G47" s="6">
        <v>1614.8</v>
      </c>
    </row>
    <row r="48" spans="1:9" x14ac:dyDescent="0.35">
      <c r="B48" s="1" t="s">
        <v>150</v>
      </c>
      <c r="C48" s="6">
        <v>-2185.8000000000002</v>
      </c>
      <c r="D48" s="6">
        <v>-4395.6000000000004</v>
      </c>
      <c r="E48" s="6">
        <v>-3347.8</v>
      </c>
      <c r="F48" s="6">
        <v>-4219.1000000000004</v>
      </c>
      <c r="G48" s="6">
        <v>-5295.2</v>
      </c>
      <c r="I48" s="1" t="s">
        <v>68</v>
      </c>
    </row>
    <row r="49" spans="1:7" x14ac:dyDescent="0.35">
      <c r="B49" s="1" t="s">
        <v>151</v>
      </c>
      <c r="C49" s="1">
        <v>0</v>
      </c>
      <c r="D49" s="1">
        <v>-193</v>
      </c>
      <c r="E49" s="1">
        <v>-230.3</v>
      </c>
      <c r="F49" s="1">
        <v>-211.7</v>
      </c>
      <c r="G49" s="1">
        <v>-238.4</v>
      </c>
    </row>
    <row r="50" spans="1:7" x14ac:dyDescent="0.35">
      <c r="B50" s="1" t="s">
        <v>152</v>
      </c>
      <c r="C50" s="1">
        <v>-546.29999999999995</v>
      </c>
      <c r="D50" s="1">
        <v>-650.6</v>
      </c>
      <c r="E50" s="1">
        <v>-536.20000000000005</v>
      </c>
      <c r="F50" s="1">
        <v>-401.3</v>
      </c>
      <c r="G50" s="1">
        <v>-904.6</v>
      </c>
    </row>
    <row r="51" spans="1:7" x14ac:dyDescent="0.35">
      <c r="B51" s="4" t="s">
        <v>153</v>
      </c>
      <c r="C51" s="9">
        <v>-3789.4</v>
      </c>
      <c r="D51" s="28">
        <v>791.5</v>
      </c>
      <c r="E51" s="9">
        <v>-2717.5</v>
      </c>
      <c r="F51" s="9">
        <v>3795.7</v>
      </c>
      <c r="G51" s="9">
        <v>-17608.2</v>
      </c>
    </row>
    <row r="52" spans="1:7" x14ac:dyDescent="0.35">
      <c r="A52" s="5" t="s">
        <v>134</v>
      </c>
      <c r="B52" s="26" t="s">
        <v>154</v>
      </c>
      <c r="C52" s="1">
        <v>843.2</v>
      </c>
      <c r="D52" s="1">
        <v>-771.2</v>
      </c>
      <c r="E52" s="1">
        <v>-53.9</v>
      </c>
      <c r="F52" s="6">
        <f>F51+F43+F33</f>
        <v>554.60000000000218</v>
      </c>
      <c r="G52" s="6">
        <f>G51+G43+G33</f>
        <v>345.20000000000073</v>
      </c>
    </row>
    <row r="53" spans="1:7" x14ac:dyDescent="0.35">
      <c r="A53" s="5" t="s">
        <v>135</v>
      </c>
      <c r="B53" s="26" t="s">
        <v>155</v>
      </c>
      <c r="C53" s="6">
        <v>1667.1</v>
      </c>
      <c r="D53" s="6">
        <v>2490.5</v>
      </c>
      <c r="E53" s="6">
        <v>1759.4</v>
      </c>
      <c r="F53" s="6">
        <v>1742.2</v>
      </c>
      <c r="G53" s="6">
        <v>2321.8000000000002</v>
      </c>
    </row>
    <row r="54" spans="1:7" x14ac:dyDescent="0.35">
      <c r="B54" s="1" t="s">
        <v>157</v>
      </c>
      <c r="C54" s="1">
        <v>-19.8</v>
      </c>
      <c r="D54" s="1">
        <v>40.1</v>
      </c>
      <c r="E54" s="1">
        <v>36.700000000000003</v>
      </c>
      <c r="F54" s="1">
        <v>25</v>
      </c>
      <c r="G54" s="1">
        <v>71</v>
      </c>
    </row>
    <row r="55" spans="1:7" x14ac:dyDescent="0.35">
      <c r="A55" s="5" t="s">
        <v>161</v>
      </c>
      <c r="B55" s="29" t="s">
        <v>158</v>
      </c>
      <c r="C55" s="9">
        <v>2490.5</v>
      </c>
      <c r="D55" s="9">
        <v>1759.4</v>
      </c>
      <c r="E55" s="9">
        <v>1742.2</v>
      </c>
      <c r="F55" s="9">
        <v>2321.8000000000002</v>
      </c>
      <c r="G55" s="9">
        <v>2738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8A8E4-4563-4D69-A6F4-29ACD26E3578}">
  <dimension ref="A1:R224"/>
  <sheetViews>
    <sheetView showGridLines="0" tabSelected="1" zoomScale="66" workbookViewId="0">
      <pane ySplit="3" topLeftCell="A157" activePane="bottomLeft" state="frozen"/>
      <selection pane="bottomLeft" activeCell="K167" sqref="K167"/>
    </sheetView>
  </sheetViews>
  <sheetFormatPr defaultColWidth="11.6328125" defaultRowHeight="14.5" outlineLevelRow="1" x14ac:dyDescent="0.35"/>
  <cols>
    <col min="1" max="3" width="1.26953125" style="1" customWidth="1"/>
    <col min="4" max="4" width="40.6328125" style="1" customWidth="1"/>
    <col min="5" max="5" width="13.81640625" style="1" bestFit="1" customWidth="1"/>
    <col min="6" max="6" width="12.6328125" style="1" customWidth="1"/>
    <col min="7" max="7" width="2.6328125" style="1" customWidth="1"/>
    <col min="8" max="8" width="13.453125" style="1" customWidth="1"/>
    <col min="9" max="9" width="11.6328125" style="1"/>
    <col min="10" max="10" width="14" style="1" bestFit="1" customWidth="1"/>
    <col min="11" max="15" width="11.6328125" style="1"/>
    <col min="16" max="16" width="11.54296875" style="1" customWidth="1"/>
    <col min="17" max="17" width="11.6328125" style="1"/>
    <col min="18" max="18" width="12.90625" style="1" bestFit="1" customWidth="1"/>
    <col min="19" max="16384" width="11.6328125" style="1"/>
  </cols>
  <sheetData>
    <row r="1" spans="1:17" ht="33" x14ac:dyDescent="0.7">
      <c r="A1" s="31" t="s">
        <v>168</v>
      </c>
      <c r="B1" s="32"/>
      <c r="C1" s="32"/>
      <c r="D1" s="32"/>
      <c r="E1" s="33"/>
      <c r="F1" s="224" t="s">
        <v>169</v>
      </c>
      <c r="G1" s="224"/>
      <c r="H1" s="224"/>
      <c r="I1" s="224"/>
      <c r="J1" s="224"/>
      <c r="K1" s="224"/>
      <c r="L1" s="36"/>
      <c r="M1" s="225" t="s">
        <v>170</v>
      </c>
      <c r="N1" s="225"/>
      <c r="O1" s="225"/>
      <c r="P1" s="225"/>
      <c r="Q1" s="225"/>
    </row>
    <row r="2" spans="1:17" ht="20.5" x14ac:dyDescent="0.45">
      <c r="A2" s="34" t="s">
        <v>167</v>
      </c>
      <c r="B2" s="32"/>
      <c r="C2" s="32"/>
      <c r="D2" s="32"/>
      <c r="E2" s="33"/>
      <c r="F2" s="33"/>
      <c r="G2" s="33"/>
      <c r="H2" s="35">
        <v>2019</v>
      </c>
      <c r="I2" s="35">
        <f>H2+1</f>
        <v>2020</v>
      </c>
      <c r="J2" s="35">
        <f t="shared" ref="J2:L2" si="0">I2+1</f>
        <v>2021</v>
      </c>
      <c r="K2" s="35">
        <f t="shared" si="0"/>
        <v>2022</v>
      </c>
      <c r="L2" s="35">
        <f t="shared" si="0"/>
        <v>2023</v>
      </c>
      <c r="M2" s="37">
        <f>L2+1</f>
        <v>2024</v>
      </c>
      <c r="N2" s="37">
        <f t="shared" ref="N2:Q2" si="1">M2+1</f>
        <v>2025</v>
      </c>
      <c r="O2" s="37">
        <f t="shared" si="1"/>
        <v>2026</v>
      </c>
      <c r="P2" s="37">
        <f t="shared" si="1"/>
        <v>2027</v>
      </c>
      <c r="Q2" s="37">
        <f t="shared" si="1"/>
        <v>2028</v>
      </c>
    </row>
    <row r="3" spans="1:17" ht="20.5" x14ac:dyDescent="0.45">
      <c r="A3" s="57"/>
      <c r="B3" s="53"/>
      <c r="C3" s="53"/>
      <c r="D3" s="58" t="s">
        <v>214</v>
      </c>
      <c r="E3" s="58"/>
      <c r="F3" s="58"/>
      <c r="G3" s="58"/>
      <c r="H3" s="59" t="str">
        <f>IF(H73&gt;1,"Error","OK")</f>
        <v>OK</v>
      </c>
      <c r="I3" s="59" t="str">
        <f t="shared" ref="I3:Q3" si="2">IF(I73&gt;1,"Error","OK")</f>
        <v>OK</v>
      </c>
      <c r="J3" s="59" t="str">
        <f t="shared" si="2"/>
        <v>OK</v>
      </c>
      <c r="K3" s="59" t="str">
        <f t="shared" si="2"/>
        <v>OK</v>
      </c>
      <c r="L3" s="59" t="str">
        <f t="shared" si="2"/>
        <v>OK</v>
      </c>
      <c r="M3" s="59" t="str">
        <f>IF(M73&gt;1,"Error","OK")</f>
        <v>OK</v>
      </c>
      <c r="N3" s="59" t="str">
        <f t="shared" si="2"/>
        <v>OK</v>
      </c>
      <c r="O3" s="59" t="str">
        <f t="shared" si="2"/>
        <v>OK</v>
      </c>
      <c r="P3" s="59" t="str">
        <f t="shared" si="2"/>
        <v>OK</v>
      </c>
      <c r="Q3" s="59" t="str">
        <f t="shared" si="2"/>
        <v>OK</v>
      </c>
    </row>
    <row r="4" spans="1:17" ht="20.5" x14ac:dyDescent="0.45">
      <c r="A4" s="57"/>
      <c r="B4" s="53"/>
      <c r="C4" s="53"/>
      <c r="D4" s="58"/>
      <c r="E4" s="58"/>
      <c r="F4" s="58"/>
      <c r="G4" s="58"/>
      <c r="H4" s="59"/>
      <c r="I4" s="59"/>
      <c r="J4" s="59"/>
      <c r="K4" s="59"/>
      <c r="L4" s="59"/>
      <c r="M4" s="56"/>
      <c r="N4" s="56"/>
      <c r="O4" s="56"/>
      <c r="P4" s="56"/>
      <c r="Q4" s="56"/>
    </row>
    <row r="5" spans="1:17" ht="20.5" x14ac:dyDescent="0.45">
      <c r="A5" s="38" t="s">
        <v>252</v>
      </c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</row>
    <row r="6" spans="1:17" ht="20.5" x14ac:dyDescent="0.45">
      <c r="A6" s="57"/>
      <c r="B6" s="53"/>
      <c r="C6" s="53"/>
      <c r="D6" s="58"/>
      <c r="E6" s="58"/>
      <c r="F6" s="58"/>
      <c r="G6" s="58"/>
      <c r="H6" s="59"/>
      <c r="I6" s="59"/>
      <c r="J6" s="59"/>
      <c r="K6" s="59"/>
      <c r="L6" s="59"/>
      <c r="M6" s="56"/>
      <c r="N6" s="56"/>
      <c r="O6" s="56"/>
      <c r="P6" s="56"/>
      <c r="Q6" s="56"/>
    </row>
    <row r="7" spans="1:17" ht="15.5" x14ac:dyDescent="0.35">
      <c r="A7" s="43"/>
      <c r="B7" s="43"/>
      <c r="C7" s="43"/>
      <c r="D7" s="64" t="s">
        <v>273</v>
      </c>
      <c r="E7" s="79" t="s">
        <v>270</v>
      </c>
      <c r="F7" s="64" t="s">
        <v>253</v>
      </c>
      <c r="G7" s="80">
        <f>IF(E7=Scenario!D5,1,IF(Model!E7=Scenario!D6,2,3))</f>
        <v>3</v>
      </c>
      <c r="H7" s="64"/>
      <c r="I7" s="64"/>
      <c r="J7" s="64"/>
      <c r="K7" s="64"/>
      <c r="L7" s="64"/>
      <c r="M7" s="56"/>
      <c r="N7" s="56"/>
      <c r="O7" s="56"/>
      <c r="P7" s="56"/>
      <c r="Q7" s="56"/>
    </row>
    <row r="8" spans="1:17" ht="15.5" x14ac:dyDescent="0.35">
      <c r="A8" s="43"/>
      <c r="B8" s="43"/>
      <c r="C8" s="43"/>
      <c r="D8" s="64" t="s">
        <v>254</v>
      </c>
      <c r="E8" s="64"/>
      <c r="F8" s="64" t="s">
        <v>257</v>
      </c>
      <c r="G8" s="64"/>
      <c r="H8" s="65"/>
      <c r="I8" s="65">
        <f>I25/H25-1</f>
        <v>0.13417758682323022</v>
      </c>
      <c r="J8" s="65">
        <f t="shared" ref="J8:L8" si="3">J25/I25-1</f>
        <v>6.2395438355967281E-2</v>
      </c>
      <c r="K8" s="65">
        <f t="shared" si="3"/>
        <v>0.19956886681458896</v>
      </c>
      <c r="L8" s="65">
        <f t="shared" si="3"/>
        <v>9.0751622831640288E-2</v>
      </c>
      <c r="M8" s="65" cm="1">
        <f t="array" ref="M8:Q8">CHOOSE(G7,Scenario!H5:L5,Scenario!H6:L6,Scenario!H7:L7)</f>
        <v>6.2395438355967281E-2</v>
      </c>
      <c r="N8" s="65">
        <v>5.3036122602572185E-2</v>
      </c>
      <c r="O8" s="65">
        <v>4.5080704212186358E-2</v>
      </c>
      <c r="P8" s="65">
        <v>3.8318598580358403E-2</v>
      </c>
      <c r="Q8" s="65">
        <v>3.2570808793304644E-2</v>
      </c>
    </row>
    <row r="9" spans="1:17" ht="15.5" x14ac:dyDescent="0.35">
      <c r="A9" s="43"/>
      <c r="B9" s="43"/>
      <c r="C9" s="43"/>
      <c r="D9" s="64" t="s">
        <v>255</v>
      </c>
      <c r="E9" s="64"/>
      <c r="F9" s="64" t="s">
        <v>257</v>
      </c>
      <c r="G9" s="64"/>
      <c r="H9" s="65">
        <f>-(H26/H25)</f>
        <v>0.40028461953544775</v>
      </c>
      <c r="I9" s="65">
        <f t="shared" ref="I9:L9" si="4">-(I26/I25)</f>
        <v>0.40086237890023918</v>
      </c>
      <c r="J9" s="65">
        <f t="shared" si="4"/>
        <v>0.39463689268258012</v>
      </c>
      <c r="K9" s="65">
        <f t="shared" si="4"/>
        <v>0.39309905126765649</v>
      </c>
      <c r="L9" s="65">
        <f t="shared" si="4"/>
        <v>0.42303043470014462</v>
      </c>
      <c r="M9" s="65">
        <f>AVERAGE(H9:L9)</f>
        <v>0.40238267541721362</v>
      </c>
      <c r="N9" s="65">
        <f>M9</f>
        <v>0.40238267541721362</v>
      </c>
      <c r="O9" s="65">
        <f t="shared" ref="O9:Q9" si="5">N9</f>
        <v>0.40238267541721362</v>
      </c>
      <c r="P9" s="65">
        <f t="shared" si="5"/>
        <v>0.40238267541721362</v>
      </c>
      <c r="Q9" s="65">
        <f t="shared" si="5"/>
        <v>0.40238267541721362</v>
      </c>
    </row>
    <row r="10" spans="1:17" ht="15.5" x14ac:dyDescent="0.35">
      <c r="A10" s="43"/>
      <c r="B10" s="43"/>
      <c r="C10" s="43"/>
      <c r="D10" s="64" t="s">
        <v>256</v>
      </c>
      <c r="E10" s="64"/>
      <c r="F10" s="64" t="s">
        <v>257</v>
      </c>
      <c r="G10" s="64"/>
      <c r="H10" s="65">
        <f t="shared" ref="H10:L10" si="6">-H29/H25</f>
        <v>0.18518755122539993</v>
      </c>
      <c r="I10" s="65">
        <f t="shared" si="6"/>
        <v>0.180420068165803</v>
      </c>
      <c r="J10" s="65">
        <f t="shared" si="6"/>
        <v>0.18285709773593034</v>
      </c>
      <c r="K10" s="65">
        <f t="shared" si="6"/>
        <v>0.18456600831845207</v>
      </c>
      <c r="L10" s="65">
        <f t="shared" si="6"/>
        <v>0.18374879087114177</v>
      </c>
      <c r="M10" s="65">
        <f t="shared" ref="M10:M19" si="7">AVERAGE(H10:L10)</f>
        <v>0.18335590326334544</v>
      </c>
      <c r="N10" s="65">
        <f t="shared" ref="N10:Q16" si="8">M10</f>
        <v>0.18335590326334544</v>
      </c>
      <c r="O10" s="65">
        <f t="shared" si="8"/>
        <v>0.18335590326334544</v>
      </c>
      <c r="P10" s="65">
        <f t="shared" si="8"/>
        <v>0.18335590326334544</v>
      </c>
      <c r="Q10" s="65">
        <f t="shared" si="8"/>
        <v>0.18335590326334544</v>
      </c>
    </row>
    <row r="11" spans="1:17" ht="15.5" x14ac:dyDescent="0.35">
      <c r="A11" s="43"/>
      <c r="B11" s="43"/>
      <c r="C11" s="43"/>
      <c r="D11" s="64" t="s">
        <v>258</v>
      </c>
      <c r="E11" s="64"/>
      <c r="F11" s="64" t="s">
        <v>257</v>
      </c>
      <c r="G11" s="64"/>
      <c r="H11" s="65">
        <f>-H30/H25</f>
        <v>0.26300666422914187</v>
      </c>
      <c r="I11" s="65">
        <f t="shared" ref="I11:L11" si="9">-I30/I25</f>
        <v>0.24214439453714845</v>
      </c>
      <c r="J11" s="65">
        <f t="shared" si="9"/>
        <v>0.20339852972529077</v>
      </c>
      <c r="K11" s="65">
        <f t="shared" si="9"/>
        <v>0.22928591646378335</v>
      </c>
      <c r="L11" s="65">
        <f t="shared" si="9"/>
        <v>0.25446623319073802</v>
      </c>
      <c r="M11" s="65">
        <f t="shared" si="7"/>
        <v>0.2384603476292205</v>
      </c>
      <c r="N11" s="65">
        <f t="shared" si="8"/>
        <v>0.2384603476292205</v>
      </c>
      <c r="O11" s="65">
        <f t="shared" si="8"/>
        <v>0.2384603476292205</v>
      </c>
      <c r="P11" s="65">
        <f t="shared" si="8"/>
        <v>0.2384603476292205</v>
      </c>
      <c r="Q11" s="65">
        <f t="shared" si="8"/>
        <v>0.2384603476292205</v>
      </c>
    </row>
    <row r="12" spans="1:17" ht="15.5" x14ac:dyDescent="0.35">
      <c r="A12" s="43"/>
      <c r="B12" s="43"/>
      <c r="C12" s="43"/>
      <c r="D12" s="64" t="s">
        <v>259</v>
      </c>
      <c r="E12" s="64"/>
      <c r="F12" s="64" t="s">
        <v>257</v>
      </c>
      <c r="G12" s="64"/>
      <c r="H12" s="65"/>
      <c r="I12" s="65">
        <f>-I32/I118</f>
        <v>9.563953928349804E-2</v>
      </c>
      <c r="J12" s="65">
        <f t="shared" ref="J12:L12" si="10">-J32/J118</f>
        <v>9.5588209696678528E-2</v>
      </c>
      <c r="K12" s="65">
        <f t="shared" si="10"/>
        <v>0.10891227466703932</v>
      </c>
      <c r="L12" s="65">
        <f t="shared" si="10"/>
        <v>0.10937522021619944</v>
      </c>
      <c r="M12" s="65">
        <f t="shared" si="7"/>
        <v>0.10237881096585384</v>
      </c>
      <c r="N12" s="65">
        <f t="shared" si="8"/>
        <v>0.10237881096585384</v>
      </c>
      <c r="O12" s="65">
        <f t="shared" si="8"/>
        <v>0.10237881096585384</v>
      </c>
      <c r="P12" s="65">
        <f t="shared" si="8"/>
        <v>0.10237881096585384</v>
      </c>
      <c r="Q12" s="65">
        <f t="shared" si="8"/>
        <v>0.10237881096585384</v>
      </c>
    </row>
    <row r="13" spans="1:17" ht="15.5" x14ac:dyDescent="0.35">
      <c r="A13" s="43"/>
      <c r="B13" s="43"/>
      <c r="C13" s="43"/>
      <c r="D13" s="64" t="s">
        <v>260</v>
      </c>
      <c r="E13" s="64"/>
      <c r="F13" s="64" t="s">
        <v>257</v>
      </c>
      <c r="G13" s="64"/>
      <c r="H13" s="65"/>
      <c r="I13" s="65">
        <f>-I34/I124</f>
        <v>7.2083051730059716E-2</v>
      </c>
      <c r="J13" s="65">
        <f t="shared" ref="J13:L13" si="11">-J34/J124</f>
        <v>3.5435272891294542E-2</v>
      </c>
      <c r="K13" s="65">
        <f t="shared" si="11"/>
        <v>2.9224656525184436E-2</v>
      </c>
      <c r="L13" s="65">
        <f t="shared" si="11"/>
        <v>4.0237014605406657E-2</v>
      </c>
      <c r="M13" s="65">
        <f t="shared" si="7"/>
        <v>4.4244998937986335E-2</v>
      </c>
      <c r="N13" s="65">
        <f t="shared" si="8"/>
        <v>4.4244998937986335E-2</v>
      </c>
      <c r="O13" s="65">
        <f t="shared" si="8"/>
        <v>4.4244998937986335E-2</v>
      </c>
      <c r="P13" s="65">
        <f t="shared" si="8"/>
        <v>4.4244998937986335E-2</v>
      </c>
      <c r="Q13" s="65">
        <f t="shared" si="8"/>
        <v>4.4244998937986335E-2</v>
      </c>
    </row>
    <row r="14" spans="1:17" ht="15.5" x14ac:dyDescent="0.35">
      <c r="A14" s="43"/>
      <c r="B14" s="43"/>
      <c r="C14" s="43"/>
      <c r="D14" s="64" t="s">
        <v>261</v>
      </c>
      <c r="E14" s="64"/>
      <c r="F14" s="64" t="s">
        <v>257</v>
      </c>
      <c r="G14" s="64"/>
      <c r="H14" s="65">
        <f>H35/H25</f>
        <v>1.1920311966933028E-2</v>
      </c>
      <c r="I14" s="65">
        <f t="shared" ref="I14:L14" si="12">I35/I25</f>
        <v>1.2489873399517758E-2</v>
      </c>
      <c r="J14" s="65">
        <f t="shared" si="12"/>
        <v>2.6306794916192984E-2</v>
      </c>
      <c r="K14" s="65">
        <f t="shared" si="12"/>
        <v>1.3888222798351358E-2</v>
      </c>
      <c r="L14" s="65">
        <f t="shared" si="12"/>
        <v>9.7506220224393633E-3</v>
      </c>
      <c r="M14" s="65">
        <f t="shared" si="7"/>
        <v>1.4871165020686899E-2</v>
      </c>
      <c r="N14" s="65">
        <f t="shared" si="8"/>
        <v>1.4871165020686899E-2</v>
      </c>
      <c r="O14" s="65">
        <f t="shared" si="8"/>
        <v>1.4871165020686899E-2</v>
      </c>
      <c r="P14" s="65">
        <f t="shared" si="8"/>
        <v>1.4871165020686899E-2</v>
      </c>
      <c r="Q14" s="65">
        <f t="shared" si="8"/>
        <v>1.4871165020686899E-2</v>
      </c>
    </row>
    <row r="15" spans="1:17" ht="15.5" x14ac:dyDescent="0.35">
      <c r="A15" s="43"/>
      <c r="B15" s="43"/>
      <c r="C15" s="43"/>
      <c r="D15" s="64" t="s">
        <v>262</v>
      </c>
      <c r="E15" s="64"/>
      <c r="F15" s="64" t="s">
        <v>257</v>
      </c>
      <c r="G15" s="64"/>
      <c r="H15" s="65">
        <f>-H37/H36</f>
        <v>0.18961724593048851</v>
      </c>
      <c r="I15" s="65">
        <f t="shared" ref="I15:L15" si="13">-I37/I36</f>
        <v>8.7697155875185534E-2</v>
      </c>
      <c r="J15" s="65">
        <f t="shared" si="13"/>
        <v>0.12177949079854508</v>
      </c>
      <c r="K15" s="65">
        <f t="shared" si="13"/>
        <v>8.8901902097295399E-2</v>
      </c>
      <c r="L15" s="65">
        <f t="shared" si="13"/>
        <v>0.22836208680457074</v>
      </c>
      <c r="M15" s="65">
        <f t="shared" si="7"/>
        <v>0.14327157630121706</v>
      </c>
      <c r="N15" s="65">
        <f t="shared" si="8"/>
        <v>0.14327157630121706</v>
      </c>
      <c r="O15" s="65">
        <f t="shared" si="8"/>
        <v>0.14327157630121706</v>
      </c>
      <c r="P15" s="65">
        <f t="shared" si="8"/>
        <v>0.14327157630121706</v>
      </c>
      <c r="Q15" s="65">
        <f t="shared" si="8"/>
        <v>0.14327157630121706</v>
      </c>
    </row>
    <row r="16" spans="1:17" ht="15.5" x14ac:dyDescent="0.35">
      <c r="A16" s="43"/>
      <c r="B16" s="43"/>
      <c r="C16" s="43"/>
      <c r="D16" s="64" t="s">
        <v>263</v>
      </c>
      <c r="E16" s="64"/>
      <c r="F16" s="64" t="s">
        <v>257</v>
      </c>
      <c r="G16" s="64"/>
      <c r="H16" s="65">
        <f>-H98/H38</f>
        <v>0.28253451217620634</v>
      </c>
      <c r="I16" s="65">
        <f t="shared" ref="I16:L16" si="14">-I98/I38</f>
        <v>0.38245556029269734</v>
      </c>
      <c r="J16" s="65">
        <f t="shared" si="14"/>
        <v>0.20693918171309875</v>
      </c>
      <c r="K16" s="65">
        <f t="shared" si="14"/>
        <v>0.25108907827080551</v>
      </c>
      <c r="L16" s="65">
        <f t="shared" si="14"/>
        <v>0.52593835976996606</v>
      </c>
      <c r="M16" s="65">
        <f t="shared" si="7"/>
        <v>0.32979133844455483</v>
      </c>
      <c r="N16" s="65">
        <f t="shared" si="8"/>
        <v>0.32979133844455483</v>
      </c>
      <c r="O16" s="65">
        <f t="shared" si="8"/>
        <v>0.32979133844455483</v>
      </c>
      <c r="P16" s="65">
        <f t="shared" si="8"/>
        <v>0.32979133844455483</v>
      </c>
      <c r="Q16" s="65">
        <f t="shared" si="8"/>
        <v>0.32979133844455483</v>
      </c>
    </row>
    <row r="17" spans="1:17" ht="15.5" x14ac:dyDescent="0.35">
      <c r="A17" s="43"/>
      <c r="B17" s="43"/>
      <c r="C17" s="43"/>
      <c r="D17" s="64" t="s">
        <v>239</v>
      </c>
      <c r="E17" s="64"/>
      <c r="F17" s="64" t="s">
        <v>264</v>
      </c>
      <c r="G17" s="64"/>
      <c r="H17" s="64">
        <f>H47/H25*365</f>
        <v>61.935283715657754</v>
      </c>
      <c r="I17" s="64">
        <f t="shared" ref="I17:L17" si="15">I47/I25*365</f>
        <v>72.146503746242956</v>
      </c>
      <c r="J17" s="64">
        <f t="shared" si="15"/>
        <v>66.173828343115233</v>
      </c>
      <c r="K17" s="64">
        <f t="shared" si="15"/>
        <v>64.685603699012347</v>
      </c>
      <c r="L17" s="64">
        <f t="shared" si="15"/>
        <v>67.094426713428263</v>
      </c>
      <c r="M17" s="64">
        <f t="shared" si="7"/>
        <v>66.407129243491312</v>
      </c>
      <c r="N17" s="64">
        <f>M17</f>
        <v>66.407129243491312</v>
      </c>
      <c r="O17" s="64">
        <f t="shared" ref="O17:Q17" si="16">N17</f>
        <v>66.407129243491312</v>
      </c>
      <c r="P17" s="64">
        <f t="shared" si="16"/>
        <v>66.407129243491312</v>
      </c>
      <c r="Q17" s="64">
        <f t="shared" si="16"/>
        <v>66.407129243491312</v>
      </c>
    </row>
    <row r="18" spans="1:17" ht="15.5" x14ac:dyDescent="0.35">
      <c r="A18" s="43"/>
      <c r="B18" s="43"/>
      <c r="C18" s="43"/>
      <c r="D18" s="64" t="s">
        <v>191</v>
      </c>
      <c r="E18" s="64"/>
      <c r="F18" s="64" t="s">
        <v>264</v>
      </c>
      <c r="G18" s="64"/>
      <c r="H18" s="64">
        <f>-H48/H26*365</f>
        <v>185.89410078880258</v>
      </c>
      <c r="I18" s="64">
        <f t="shared" ref="I18:L18" si="17">-I48/I26*365</f>
        <v>198.46971844039058</v>
      </c>
      <c r="J18" s="64">
        <f t="shared" si="17"/>
        <v>241.26061181205449</v>
      </c>
      <c r="K18" s="64">
        <f t="shared" si="17"/>
        <v>262.42639864698384</v>
      </c>
      <c r="L18" s="64">
        <f t="shared" si="17"/>
        <v>193.96362017102661</v>
      </c>
      <c r="M18" s="64">
        <f t="shared" si="7"/>
        <v>216.40288997185161</v>
      </c>
      <c r="N18" s="64">
        <f t="shared" ref="N18:Q19" si="18">M18</f>
        <v>216.40288997185161</v>
      </c>
      <c r="O18" s="64">
        <f t="shared" si="18"/>
        <v>216.40288997185161</v>
      </c>
      <c r="P18" s="64">
        <f t="shared" si="18"/>
        <v>216.40288997185161</v>
      </c>
      <c r="Q18" s="64">
        <f t="shared" si="18"/>
        <v>216.40288997185161</v>
      </c>
    </row>
    <row r="19" spans="1:17" ht="15.5" x14ac:dyDescent="0.35">
      <c r="A19" s="43"/>
      <c r="B19" s="43"/>
      <c r="C19" s="43"/>
      <c r="D19" s="64" t="s">
        <v>201</v>
      </c>
      <c r="E19" s="64"/>
      <c r="F19" s="64" t="s">
        <v>264</v>
      </c>
      <c r="G19" s="64"/>
      <c r="H19" s="64">
        <f>-H60/H26*365</f>
        <v>119.26140164415935</v>
      </c>
      <c r="I19" s="64">
        <f t="shared" ref="I19:L19" si="19">-I60/I26*365</f>
        <v>104.10597798465743</v>
      </c>
      <c r="J19" s="64">
        <f t="shared" si="19"/>
        <v>111.57327795658662</v>
      </c>
      <c r="K19" s="64">
        <f t="shared" si="19"/>
        <v>102.45310732030555</v>
      </c>
      <c r="L19" s="64">
        <f t="shared" si="19"/>
        <v>86.661874037058496</v>
      </c>
      <c r="M19" s="64">
        <f t="shared" si="7"/>
        <v>104.81112778855349</v>
      </c>
      <c r="N19" s="64">
        <f t="shared" si="18"/>
        <v>104.81112778855349</v>
      </c>
      <c r="O19" s="64">
        <f t="shared" si="18"/>
        <v>104.81112778855349</v>
      </c>
      <c r="P19" s="64">
        <f t="shared" si="18"/>
        <v>104.81112778855349</v>
      </c>
      <c r="Q19" s="64">
        <f t="shared" si="18"/>
        <v>104.81112778855349</v>
      </c>
    </row>
    <row r="20" spans="1:17" ht="15.5" x14ac:dyDescent="0.35">
      <c r="A20" s="43"/>
      <c r="B20" s="43"/>
      <c r="C20" s="43"/>
      <c r="D20" s="64" t="s">
        <v>265</v>
      </c>
      <c r="E20" s="64"/>
      <c r="F20" s="64" t="s">
        <v>266</v>
      </c>
      <c r="G20" s="64"/>
      <c r="H20" s="66">
        <f>H25/H52</f>
        <v>2.7838196788303486</v>
      </c>
      <c r="I20" s="66">
        <f t="shared" ref="I20:L20" si="20">I25/I52</f>
        <v>2.9048817592853684</v>
      </c>
      <c r="J20" s="66">
        <f t="shared" si="20"/>
        <v>3.1764324386302483</v>
      </c>
      <c r="K20" s="66">
        <f t="shared" si="20"/>
        <v>3.7469134497484249</v>
      </c>
      <c r="L20" s="66">
        <f t="shared" si="20"/>
        <v>4.4734698600023144</v>
      </c>
      <c r="M20" s="66">
        <f>L20+0.5</f>
        <v>4.9734698600023144</v>
      </c>
      <c r="N20" s="66">
        <f>M20+0.5</f>
        <v>5.4734698600023144</v>
      </c>
      <c r="O20" s="66">
        <f t="shared" ref="O20:Q20" si="21">N20+0.5</f>
        <v>5.9734698600023144</v>
      </c>
      <c r="P20" s="66">
        <f t="shared" si="21"/>
        <v>6.4734698600023144</v>
      </c>
      <c r="Q20" s="66">
        <f t="shared" si="21"/>
        <v>6.9734698600023144</v>
      </c>
    </row>
    <row r="21" spans="1:17" ht="15.5" x14ac:dyDescent="0.35">
      <c r="A21" s="43"/>
      <c r="B21" s="43"/>
      <c r="C21" s="43"/>
      <c r="D21" s="64"/>
      <c r="E21" s="64"/>
      <c r="F21" s="64"/>
      <c r="G21" s="64"/>
      <c r="H21" s="66"/>
      <c r="I21" s="66"/>
      <c r="J21" s="66"/>
      <c r="K21" s="66"/>
      <c r="L21" s="66"/>
      <c r="M21" s="56"/>
      <c r="N21" s="56"/>
      <c r="O21" s="56"/>
      <c r="P21" s="56"/>
      <c r="Q21" s="56"/>
    </row>
    <row r="23" spans="1:17" ht="20.5" x14ac:dyDescent="0.45">
      <c r="A23" s="38" t="s">
        <v>171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  <c r="N23" s="38"/>
      <c r="O23" s="38"/>
      <c r="P23" s="38"/>
      <c r="Q23" s="38"/>
    </row>
    <row r="24" spans="1:17" s="39" customFormat="1" ht="18.5" outlineLevel="1" x14ac:dyDescent="0.45">
      <c r="A24" s="13"/>
      <c r="B24" s="16" t="s">
        <v>73</v>
      </c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7" s="39" customFormat="1" ht="18.5" outlineLevel="1" x14ac:dyDescent="0.45">
      <c r="A25" s="13"/>
      <c r="B25" s="13"/>
      <c r="C25" s="13"/>
      <c r="D25" s="13" t="s">
        <v>172</v>
      </c>
      <c r="E25" s="13"/>
      <c r="F25" s="42" t="s">
        <v>173</v>
      </c>
      <c r="G25" s="13"/>
      <c r="H25" s="43">
        <f>'PL Statement'!C5</f>
        <v>73571.899999999994</v>
      </c>
      <c r="I25" s="43">
        <f>'PL Statement'!D5</f>
        <v>83443.600000000006</v>
      </c>
      <c r="J25" s="43">
        <f>'PL Statement'!E5</f>
        <v>88650.1</v>
      </c>
      <c r="K25" s="43">
        <f>'PL Statement'!F5</f>
        <v>106341.9</v>
      </c>
      <c r="L25" s="43">
        <f>'PL Statement'!G5</f>
        <v>115992.6</v>
      </c>
      <c r="M25" s="64">
        <f>L25*(1+M8)</f>
        <v>123230.00912304838</v>
      </c>
      <c r="N25" s="64">
        <f t="shared" ref="N25:Q25" si="22">M25*(1+N8)</f>
        <v>129765.65099521447</v>
      </c>
      <c r="O25" s="64">
        <f t="shared" si="22"/>
        <v>135615.57792463154</v>
      </c>
      <c r="P25" s="64">
        <f t="shared" si="22"/>
        <v>140812.17681636882</v>
      </c>
      <c r="Q25" s="64">
        <f t="shared" si="22"/>
        <v>145398.54330322376</v>
      </c>
    </row>
    <row r="26" spans="1:17" s="39" customFormat="1" ht="18.5" outlineLevel="1" x14ac:dyDescent="0.45">
      <c r="A26" s="13"/>
      <c r="B26" s="13"/>
      <c r="C26" s="13"/>
      <c r="D26" s="13" t="s">
        <v>174</v>
      </c>
      <c r="E26" s="13"/>
      <c r="F26" s="42" t="s">
        <v>173</v>
      </c>
      <c r="G26" s="13"/>
      <c r="H26" s="43">
        <f>-('PL Statement'!C9+'PL Statement'!C10+'PL Statement'!C11)</f>
        <v>-29449.700000000004</v>
      </c>
      <c r="I26" s="43">
        <f>-('PL Statement'!D9+'PL Statement'!D10+'PL Statement'!D11)</f>
        <v>-33449.4</v>
      </c>
      <c r="J26" s="43">
        <f>-('PL Statement'!E9+'PL Statement'!E10+'PL Statement'!E11)</f>
        <v>-34984.6</v>
      </c>
      <c r="K26" s="43">
        <f>-('PL Statement'!F9+'PL Statement'!F10+'PL Statement'!F11)</f>
        <v>-41802.899999999994</v>
      </c>
      <c r="L26" s="43">
        <f>-('PL Statement'!G9+'PL Statement'!G10+'PL Statement'!G11)</f>
        <v>-49068.399999999994</v>
      </c>
      <c r="M26" s="64">
        <f>-M25*M9</f>
        <v>-49585.620762619852</v>
      </c>
      <c r="N26" s="64">
        <f t="shared" ref="N26:Q26" si="23">-N25*N9</f>
        <v>-52215.449824710806</v>
      </c>
      <c r="O26" s="64">
        <f t="shared" si="23"/>
        <v>-54569.359073564854</v>
      </c>
      <c r="P26" s="64">
        <f t="shared" si="23"/>
        <v>-56660.380438692227</v>
      </c>
      <c r="Q26" s="64">
        <f t="shared" si="23"/>
        <v>-58505.85485611677</v>
      </c>
    </row>
    <row r="27" spans="1:17" s="39" customFormat="1" ht="18.5" outlineLevel="1" x14ac:dyDescent="0.45">
      <c r="A27" s="13"/>
      <c r="B27" s="13"/>
      <c r="C27" s="13"/>
      <c r="D27" s="17" t="s">
        <v>175</v>
      </c>
      <c r="E27" s="17"/>
      <c r="F27" s="44" t="s">
        <v>173</v>
      </c>
      <c r="G27" s="17"/>
      <c r="H27" s="45">
        <f>SUM(H25:H26)</f>
        <v>44122.19999999999</v>
      </c>
      <c r="I27" s="45">
        <f t="shared" ref="I27:L27" si="24">SUM(I25:I26)</f>
        <v>49994.200000000004</v>
      </c>
      <c r="J27" s="45">
        <f t="shared" si="24"/>
        <v>53665.500000000007</v>
      </c>
      <c r="K27" s="45">
        <f t="shared" si="24"/>
        <v>64539</v>
      </c>
      <c r="L27" s="45">
        <f t="shared" si="24"/>
        <v>66924.200000000012</v>
      </c>
      <c r="M27" s="45">
        <f t="shared" ref="M27" si="25">SUM(M25:M26)</f>
        <v>73644.388360428537</v>
      </c>
      <c r="N27" s="45">
        <f t="shared" ref="N27" si="26">SUM(N25:N26)</f>
        <v>77550.201170503657</v>
      </c>
      <c r="O27" s="45">
        <f t="shared" ref="O27" si="27">SUM(O25:O26)</f>
        <v>81046.218851066689</v>
      </c>
      <c r="P27" s="45">
        <f t="shared" ref="P27" si="28">SUM(P25:P26)</f>
        <v>84151.796377676597</v>
      </c>
      <c r="Q27" s="45">
        <f t="shared" ref="Q27" si="29">SUM(Q25:Q26)</f>
        <v>86892.688447106993</v>
      </c>
    </row>
    <row r="28" spans="1:17" s="39" customFormat="1" ht="18.5" outlineLevel="1" x14ac:dyDescent="0.45">
      <c r="A28" s="13"/>
      <c r="B28" s="16" t="s">
        <v>75</v>
      </c>
      <c r="C28" s="13"/>
      <c r="D28" s="13"/>
      <c r="E28" s="13"/>
      <c r="F28" s="42"/>
      <c r="G28" s="13"/>
      <c r="H28" s="43"/>
      <c r="I28" s="43"/>
      <c r="J28" s="43"/>
      <c r="K28" s="43"/>
      <c r="L28" s="43"/>
      <c r="M28" s="40"/>
      <c r="N28" s="40"/>
      <c r="O28" s="40"/>
      <c r="P28" s="40"/>
      <c r="Q28" s="40"/>
    </row>
    <row r="29" spans="1:17" s="39" customFormat="1" ht="18.5" outlineLevel="1" x14ac:dyDescent="0.45">
      <c r="A29" s="13"/>
      <c r="B29" s="13"/>
      <c r="C29" s="13"/>
      <c r="D29" s="13" t="s">
        <v>176</v>
      </c>
      <c r="E29" s="13"/>
      <c r="F29" s="42" t="s">
        <v>173</v>
      </c>
      <c r="G29" s="13"/>
      <c r="H29" s="43">
        <f>-('PL Statement'!C12)</f>
        <v>-13624.6</v>
      </c>
      <c r="I29" s="43">
        <f>-('PL Statement'!D12)</f>
        <v>-15054.9</v>
      </c>
      <c r="J29" s="43">
        <f>-('PL Statement'!E12)</f>
        <v>-16210.3</v>
      </c>
      <c r="K29" s="43">
        <f>-('PL Statement'!F12)</f>
        <v>-19627.099999999999</v>
      </c>
      <c r="L29" s="43">
        <f>-('PL Statement'!G12)</f>
        <v>-21313.5</v>
      </c>
      <c r="M29" s="64">
        <f>-M25*M10</f>
        <v>-22594.949631906835</v>
      </c>
      <c r="N29" s="64">
        <f t="shared" ref="N29:Q29" si="30">-N25*N10</f>
        <v>-23793.29815078359</v>
      </c>
      <c r="O29" s="64">
        <f t="shared" si="30"/>
        <v>-24865.916786951424</v>
      </c>
      <c r="P29" s="64">
        <f t="shared" si="30"/>
        <v>-25818.743870643215</v>
      </c>
      <c r="Q29" s="64">
        <f t="shared" si="30"/>
        <v>-26659.68124053724</v>
      </c>
    </row>
    <row r="30" spans="1:17" s="39" customFormat="1" ht="18.5" outlineLevel="1" x14ac:dyDescent="0.45">
      <c r="A30" s="13"/>
      <c r="B30" s="13"/>
      <c r="C30" s="13"/>
      <c r="D30" s="13" t="s">
        <v>178</v>
      </c>
      <c r="E30" s="13"/>
      <c r="F30" s="42" t="s">
        <v>173</v>
      </c>
      <c r="G30" s="13"/>
      <c r="H30" s="43">
        <f>-('PL Statement'!C15)</f>
        <v>-19349.900000000001</v>
      </c>
      <c r="I30" s="43">
        <f>-('PL Statement'!D15)</f>
        <v>-20205.400000000001</v>
      </c>
      <c r="J30" s="43">
        <f>-('PL Statement'!E15)</f>
        <v>-18031.3</v>
      </c>
      <c r="K30" s="43">
        <f>-('PL Statement'!F15)</f>
        <v>-24382.7</v>
      </c>
      <c r="L30" s="43">
        <f>-('PL Statement'!G15)</f>
        <v>-29516.2</v>
      </c>
      <c r="M30" s="64">
        <f>-M25*M11</f>
        <v>-29385.47081383413</v>
      </c>
      <c r="N30" s="64">
        <f t="shared" ref="N30:Q30" si="31">-N25*N11</f>
        <v>-30943.962246650946</v>
      </c>
      <c r="O30" s="64">
        <f t="shared" si="31"/>
        <v>-32338.937855845277</v>
      </c>
      <c r="P30" s="64">
        <f t="shared" si="31"/>
        <v>-33578.12063405857</v>
      </c>
      <c r="Q30" s="64">
        <f t="shared" si="31"/>
        <v>-34671.787180869011</v>
      </c>
    </row>
    <row r="31" spans="1:17" s="39" customFormat="1" ht="18.5" outlineLevel="1" x14ac:dyDescent="0.45">
      <c r="A31" s="13"/>
      <c r="B31" s="13"/>
      <c r="C31" s="13"/>
      <c r="D31" s="17" t="s">
        <v>177</v>
      </c>
      <c r="E31" s="17"/>
      <c r="F31" s="44" t="s">
        <v>173</v>
      </c>
      <c r="G31" s="17"/>
      <c r="H31" s="45">
        <f>SUM(H27:H30)</f>
        <v>11147.69999999999</v>
      </c>
      <c r="I31" s="45">
        <f t="shared" ref="I31:L31" si="32">SUM(I27:I30)</f>
        <v>14733.900000000001</v>
      </c>
      <c r="J31" s="45">
        <f t="shared" si="32"/>
        <v>19423.900000000012</v>
      </c>
      <c r="K31" s="45">
        <f t="shared" si="32"/>
        <v>20529.2</v>
      </c>
      <c r="L31" s="45">
        <f t="shared" si="32"/>
        <v>16094.500000000011</v>
      </c>
      <c r="M31" s="45">
        <f t="shared" ref="M31" si="33">SUM(M27:M30)</f>
        <v>21663.967914687571</v>
      </c>
      <c r="N31" s="45">
        <f t="shared" ref="N31" si="34">SUM(N27:N30)</f>
        <v>22812.940773069116</v>
      </c>
      <c r="O31" s="45">
        <f t="shared" ref="O31" si="35">SUM(O27:O30)</f>
        <v>23841.364208269992</v>
      </c>
      <c r="P31" s="45">
        <f t="shared" ref="P31" si="36">SUM(P27:P30)</f>
        <v>24754.931872974812</v>
      </c>
      <c r="Q31" s="45">
        <f t="shared" ref="Q31" si="37">SUM(Q27:Q30)</f>
        <v>25561.220025700743</v>
      </c>
    </row>
    <row r="32" spans="1:17" s="39" customFormat="1" ht="18.5" outlineLevel="1" x14ac:dyDescent="0.45">
      <c r="A32" s="13"/>
      <c r="B32" s="13"/>
      <c r="C32" s="13"/>
      <c r="D32" s="13" t="s">
        <v>179</v>
      </c>
      <c r="E32" s="13"/>
      <c r="F32" s="42" t="s">
        <v>173</v>
      </c>
      <c r="G32" s="13"/>
      <c r="H32" s="43">
        <f>-'PL Statement'!C14</f>
        <v>-1931.8</v>
      </c>
      <c r="I32" s="43">
        <f>-'PL Statement'!D14</f>
        <v>-2527.6</v>
      </c>
      <c r="J32" s="43">
        <f>-'PL Statement'!E14</f>
        <v>-2745.8</v>
      </c>
      <c r="K32" s="43">
        <f>-'PL Statement'!F14</f>
        <v>-3039.6</v>
      </c>
      <c r="L32" s="43">
        <f>-'PL Statement'!G14</f>
        <v>-3104.2</v>
      </c>
      <c r="M32" s="64">
        <f>M120</f>
        <v>-2654.5801895336244</v>
      </c>
      <c r="N32" s="64">
        <f t="shared" ref="N32:Q32" si="38">N120</f>
        <v>-2531.789396721344</v>
      </c>
      <c r="O32" s="64">
        <f t="shared" si="38"/>
        <v>-2394.8340730836244</v>
      </c>
      <c r="P32" s="64">
        <f t="shared" si="38"/>
        <v>-2249.9152270121017</v>
      </c>
      <c r="Q32" s="64">
        <f t="shared" si="38"/>
        <v>-2101.756503310366</v>
      </c>
    </row>
    <row r="33" spans="1:17" s="39" customFormat="1" ht="18.5" outlineLevel="1" x14ac:dyDescent="0.45">
      <c r="A33" s="13"/>
      <c r="B33" s="13"/>
      <c r="C33" s="13"/>
      <c r="D33" s="17" t="s">
        <v>180</v>
      </c>
      <c r="E33" s="17"/>
      <c r="F33" s="44" t="s">
        <v>173</v>
      </c>
      <c r="G33" s="17"/>
      <c r="H33" s="45">
        <f>SUM(H31:H32)</f>
        <v>9215.8999999999905</v>
      </c>
      <c r="I33" s="45">
        <f t="shared" ref="I33:L33" si="39">SUM(I31:I32)</f>
        <v>12206.300000000001</v>
      </c>
      <c r="J33" s="45">
        <f t="shared" si="39"/>
        <v>16678.100000000013</v>
      </c>
      <c r="K33" s="45">
        <f t="shared" si="39"/>
        <v>17489.600000000002</v>
      </c>
      <c r="L33" s="45">
        <f t="shared" si="39"/>
        <v>12990.30000000001</v>
      </c>
      <c r="M33" s="45">
        <f t="shared" ref="M33" si="40">SUM(M31:M32)</f>
        <v>19009.387725153945</v>
      </c>
      <c r="N33" s="45">
        <f t="shared" ref="N33" si="41">SUM(N31:N32)</f>
        <v>20281.151376347771</v>
      </c>
      <c r="O33" s="45">
        <f t="shared" ref="O33" si="42">SUM(O31:O32)</f>
        <v>21446.530135186367</v>
      </c>
      <c r="P33" s="45">
        <f t="shared" ref="P33" si="43">SUM(P31:P32)</f>
        <v>22505.016645962711</v>
      </c>
      <c r="Q33" s="45">
        <f t="shared" ref="Q33" si="44">SUM(Q31:Q32)</f>
        <v>23459.463522390375</v>
      </c>
    </row>
    <row r="34" spans="1:17" s="39" customFormat="1" ht="18.5" outlineLevel="1" x14ac:dyDescent="0.45">
      <c r="A34" s="13"/>
      <c r="B34" s="13"/>
      <c r="C34" s="13"/>
      <c r="D34" s="13" t="s">
        <v>181</v>
      </c>
      <c r="E34" s="13"/>
      <c r="F34" s="42" t="s">
        <v>173</v>
      </c>
      <c r="G34" s="13"/>
      <c r="H34" s="43">
        <f>-'PL Statement'!C13</f>
        <v>-546.29999999999995</v>
      </c>
      <c r="I34" s="43">
        <f>-'PL Statement'!D13</f>
        <v>-650.6</v>
      </c>
      <c r="J34" s="43">
        <f>-'PL Statement'!E13</f>
        <v>-589.20000000000005</v>
      </c>
      <c r="K34" s="43">
        <f>-'PL Statement'!F13</f>
        <v>-523.70000000000005</v>
      </c>
      <c r="L34" s="43">
        <f>-'PL Statement'!G13</f>
        <v>-1073.5999999999999</v>
      </c>
      <c r="M34" s="64">
        <f>M127</f>
        <v>-617.96105116706747</v>
      </c>
      <c r="N34" s="64">
        <f t="shared" ref="N34:Q34" si="45">N127</f>
        <v>-617.96105116706747</v>
      </c>
      <c r="O34" s="64">
        <f t="shared" si="45"/>
        <v>-617.96105116706747</v>
      </c>
      <c r="P34" s="64">
        <f t="shared" si="45"/>
        <v>-617.96105116706747</v>
      </c>
      <c r="Q34" s="64">
        <f t="shared" si="45"/>
        <v>-617.96105116706747</v>
      </c>
    </row>
    <row r="35" spans="1:17" s="39" customFormat="1" ht="18.5" outlineLevel="1" x14ac:dyDescent="0.45">
      <c r="A35" s="13"/>
      <c r="B35" s="13"/>
      <c r="C35" s="13"/>
      <c r="D35" s="13" t="s">
        <v>182</v>
      </c>
      <c r="E35" s="13"/>
      <c r="F35" s="42" t="s">
        <v>173</v>
      </c>
      <c r="G35" s="13"/>
      <c r="H35" s="43">
        <f>'PL Statement'!C6+'PL Statement'!C18</f>
        <v>877</v>
      </c>
      <c r="I35" s="43">
        <f>'PL Statement'!D6+'PL Statement'!D18</f>
        <v>1042.2</v>
      </c>
      <c r="J35" s="43">
        <f>'PL Statement'!E6+'PL Statement'!E18</f>
        <v>2332.1</v>
      </c>
      <c r="K35" s="43">
        <f>'PL Statement'!F6+'PL Statement'!F18</f>
        <v>1476.9</v>
      </c>
      <c r="L35" s="43">
        <f>'PL Statement'!G6+'PL Statement'!G18</f>
        <v>1131.0000000000002</v>
      </c>
      <c r="M35" s="64">
        <f>M25*M14</f>
        <v>1832.5738011696046</v>
      </c>
      <c r="N35" s="64">
        <f t="shared" ref="N35:Q35" si="46">N25*N14</f>
        <v>1929.7664099666974</v>
      </c>
      <c r="O35" s="64">
        <f t="shared" si="46"/>
        <v>2016.7616386930188</v>
      </c>
      <c r="P35" s="64">
        <f t="shared" si="46"/>
        <v>2094.0411183583628</v>
      </c>
      <c r="Q35" s="64">
        <f t="shared" si="46"/>
        <v>2162.2457312297306</v>
      </c>
    </row>
    <row r="36" spans="1:17" s="39" customFormat="1" ht="18.5" outlineLevel="1" x14ac:dyDescent="0.45">
      <c r="A36" s="13"/>
      <c r="B36" s="13"/>
      <c r="C36" s="13"/>
      <c r="D36" s="17" t="s">
        <v>183</v>
      </c>
      <c r="E36" s="17"/>
      <c r="F36" s="44" t="s">
        <v>173</v>
      </c>
      <c r="G36" s="17"/>
      <c r="H36" s="45">
        <f>SUM(H33:H35)</f>
        <v>9546.5999999999913</v>
      </c>
      <c r="I36" s="45">
        <f t="shared" ref="I36:L36" si="47">SUM(I33:I35)</f>
        <v>12597.900000000001</v>
      </c>
      <c r="J36" s="45">
        <f t="shared" si="47"/>
        <v>18421.000000000011</v>
      </c>
      <c r="K36" s="45">
        <f t="shared" si="47"/>
        <v>18442.800000000003</v>
      </c>
      <c r="L36" s="45">
        <f t="shared" si="47"/>
        <v>13047.70000000001</v>
      </c>
      <c r="M36" s="45">
        <f t="shared" ref="M36" si="48">SUM(M33:M35)</f>
        <v>20224.000475156481</v>
      </c>
      <c r="N36" s="45">
        <f t="shared" ref="N36" si="49">SUM(N33:N35)</f>
        <v>21592.9567351474</v>
      </c>
      <c r="O36" s="45">
        <f t="shared" ref="O36" si="50">SUM(O33:O35)</f>
        <v>22845.330722712319</v>
      </c>
      <c r="P36" s="45">
        <f t="shared" ref="P36" si="51">SUM(P33:P35)</f>
        <v>23981.096713154006</v>
      </c>
      <c r="Q36" s="45">
        <f t="shared" ref="Q36" si="52">SUM(Q33:Q35)</f>
        <v>25003.748202453036</v>
      </c>
    </row>
    <row r="37" spans="1:17" s="39" customFormat="1" ht="18.5" outlineLevel="1" x14ac:dyDescent="0.45">
      <c r="A37" s="13"/>
      <c r="B37" s="13"/>
      <c r="C37" s="13"/>
      <c r="D37" s="13" t="s">
        <v>184</v>
      </c>
      <c r="E37" s="13"/>
      <c r="F37" s="42" t="s">
        <v>173</v>
      </c>
      <c r="G37" s="13"/>
      <c r="H37" s="43">
        <f>-'PL Statement'!C25</f>
        <v>-1810.2</v>
      </c>
      <c r="I37" s="43">
        <f>-'PL Statement'!D25</f>
        <v>-1104.8</v>
      </c>
      <c r="J37" s="43">
        <f>-'PL Statement'!E25</f>
        <v>-2243.3000000000002</v>
      </c>
      <c r="K37" s="43">
        <f>-'PL Statement'!F25</f>
        <v>-1639.6</v>
      </c>
      <c r="L37" s="43">
        <f>-'PL Statement'!G25</f>
        <v>-2979.6</v>
      </c>
      <c r="M37" s="64">
        <f>-M36*M15</f>
        <v>-2897.524427192232</v>
      </c>
      <c r="N37" s="64">
        <f t="shared" ref="N37:Q37" si="53">-N36*N15</f>
        <v>-3093.6569484485494</v>
      </c>
      <c r="O37" s="64">
        <f t="shared" si="53"/>
        <v>-3273.0865437656162</v>
      </c>
      <c r="P37" s="64">
        <f t="shared" si="53"/>
        <v>-3435.80952752551</v>
      </c>
      <c r="Q37" s="64">
        <f t="shared" si="53"/>
        <v>-3582.3264184041691</v>
      </c>
    </row>
    <row r="38" spans="1:17" s="39" customFormat="1" ht="18.5" outlineLevel="1" x14ac:dyDescent="0.45">
      <c r="A38" s="13"/>
      <c r="B38" s="13"/>
      <c r="C38" s="13"/>
      <c r="D38" s="17" t="s">
        <v>185</v>
      </c>
      <c r="E38" s="17"/>
      <c r="F38" s="44" t="s">
        <v>173</v>
      </c>
      <c r="G38" s="17"/>
      <c r="H38" s="45">
        <f>SUM(H36:H37)</f>
        <v>7736.3999999999915</v>
      </c>
      <c r="I38" s="45">
        <f t="shared" ref="I38:L38" si="54">SUM(I36:I37)</f>
        <v>11493.100000000002</v>
      </c>
      <c r="J38" s="45">
        <f t="shared" si="54"/>
        <v>16177.700000000012</v>
      </c>
      <c r="K38" s="45">
        <f t="shared" si="54"/>
        <v>16803.200000000004</v>
      </c>
      <c r="L38" s="45">
        <f t="shared" si="54"/>
        <v>10068.100000000009</v>
      </c>
      <c r="M38" s="45">
        <f t="shared" ref="M38" si="55">SUM(M36:M37)</f>
        <v>17326.47604796425</v>
      </c>
      <c r="N38" s="45">
        <f t="shared" ref="N38" si="56">SUM(N36:N37)</f>
        <v>18499.299786698852</v>
      </c>
      <c r="O38" s="45">
        <f t="shared" ref="O38" si="57">SUM(O36:O37)</f>
        <v>19572.244178946701</v>
      </c>
      <c r="P38" s="45">
        <f t="shared" ref="P38" si="58">SUM(P36:P37)</f>
        <v>20545.287185628495</v>
      </c>
      <c r="Q38" s="45">
        <f t="shared" ref="Q38" si="59">SUM(Q36:Q37)</f>
        <v>21421.421784048867</v>
      </c>
    </row>
    <row r="39" spans="1:17" s="39" customFormat="1" ht="18.5" outlineLevel="1" x14ac:dyDescent="0.45">
      <c r="H39" s="41"/>
      <c r="I39" s="41"/>
      <c r="J39" s="41"/>
      <c r="K39" s="41"/>
      <c r="L39" s="41"/>
      <c r="M39" s="40"/>
      <c r="N39" s="40"/>
      <c r="O39" s="40"/>
      <c r="P39" s="40"/>
      <c r="Q39" s="40"/>
    </row>
    <row r="40" spans="1:17" s="39" customFormat="1" ht="18.5" x14ac:dyDescent="0.45">
      <c r="H40" s="41"/>
      <c r="I40" s="41"/>
      <c r="J40" s="41"/>
      <c r="K40" s="41"/>
      <c r="L40" s="41"/>
      <c r="M40" s="40"/>
      <c r="N40" s="40"/>
      <c r="O40" s="40"/>
      <c r="P40" s="40"/>
      <c r="Q40" s="40"/>
    </row>
    <row r="41" spans="1:17" s="39" customFormat="1" ht="20.5" x14ac:dyDescent="0.45">
      <c r="A41" s="38" t="s">
        <v>215</v>
      </c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</row>
    <row r="42" spans="1:17" s="39" customFormat="1" ht="18.5" x14ac:dyDescent="0.45">
      <c r="H42" s="41"/>
      <c r="I42" s="41"/>
      <c r="J42" s="41"/>
      <c r="K42" s="41"/>
      <c r="L42" s="41"/>
      <c r="M42" s="40"/>
      <c r="N42" s="40"/>
      <c r="O42" s="40"/>
      <c r="P42" s="40"/>
      <c r="Q42" s="40"/>
    </row>
    <row r="43" spans="1:17" s="39" customFormat="1" ht="18.5" outlineLevel="1" x14ac:dyDescent="0.45">
      <c r="A43" s="13"/>
      <c r="B43" s="16" t="s">
        <v>186</v>
      </c>
      <c r="C43" s="13"/>
      <c r="D43" s="13"/>
      <c r="E43" s="13"/>
      <c r="F43" s="42"/>
      <c r="G43" s="13"/>
      <c r="H43" s="43"/>
      <c r="I43" s="43"/>
      <c r="J43" s="43"/>
      <c r="K43" s="43"/>
      <c r="L43" s="43"/>
      <c r="M43" s="40"/>
      <c r="N43" s="40"/>
      <c r="O43" s="40"/>
      <c r="P43" s="40"/>
      <c r="Q43" s="40"/>
    </row>
    <row r="44" spans="1:17" s="39" customFormat="1" ht="18.5" outlineLevel="1" x14ac:dyDescent="0.45">
      <c r="A44" s="13"/>
      <c r="B44" s="13"/>
      <c r="C44" s="16" t="s">
        <v>187</v>
      </c>
      <c r="D44" s="13"/>
      <c r="E44" s="13"/>
      <c r="F44" s="13"/>
      <c r="G44" s="13"/>
      <c r="H44" s="43"/>
      <c r="I44" s="43"/>
      <c r="J44" s="43"/>
      <c r="K44" s="43"/>
      <c r="L44" s="43"/>
      <c r="M44" s="40"/>
      <c r="N44" s="40"/>
      <c r="O44" s="40"/>
      <c r="P44" s="40"/>
      <c r="Q44" s="40"/>
    </row>
    <row r="45" spans="1:17" s="39" customFormat="1" ht="18.5" outlineLevel="1" x14ac:dyDescent="0.45">
      <c r="A45" s="13"/>
      <c r="B45" s="13"/>
      <c r="C45" s="13"/>
      <c r="D45" s="13" t="s">
        <v>188</v>
      </c>
      <c r="E45" s="13"/>
      <c r="F45" s="42" t="s">
        <v>173</v>
      </c>
      <c r="G45" s="13"/>
      <c r="H45" s="43">
        <f>'BALANCE SHEET'!C26</f>
        <v>2490.5</v>
      </c>
      <c r="I45" s="43">
        <f>'BALANCE SHEET'!D26</f>
        <v>1759.4</v>
      </c>
      <c r="J45" s="43">
        <f>'BALANCE SHEET'!E26</f>
        <v>1742.2</v>
      </c>
      <c r="K45" s="43">
        <f>'BALANCE SHEET'!F26</f>
        <v>2321.8000000000002</v>
      </c>
      <c r="L45" s="43">
        <f>'BALANCE SHEET'!G26</f>
        <v>2738</v>
      </c>
      <c r="M45" s="64">
        <f t="shared" ref="M45:Q45" si="60">M104</f>
        <v>13716.536975077404</v>
      </c>
      <c r="N45" s="64">
        <f t="shared" si="60"/>
        <v>25459.561877707161</v>
      </c>
      <c r="O45" s="64">
        <f t="shared" si="60"/>
        <v>38208.582628171062</v>
      </c>
      <c r="P45" s="64">
        <f t="shared" si="60"/>
        <v>51840.628911197738</v>
      </c>
      <c r="Q45" s="64">
        <f t="shared" si="60"/>
        <v>66242.870181695718</v>
      </c>
    </row>
    <row r="46" spans="1:17" s="39" customFormat="1" ht="18.5" outlineLevel="1" x14ac:dyDescent="0.45">
      <c r="A46" s="13"/>
      <c r="B46" s="13"/>
      <c r="C46" s="13"/>
      <c r="D46" s="13" t="s">
        <v>189</v>
      </c>
      <c r="E46" s="13"/>
      <c r="F46" s="42" t="s">
        <v>173</v>
      </c>
      <c r="G46" s="13"/>
      <c r="H46" s="43">
        <f>'BALANCE SHEET'!C27</f>
        <v>4125.5</v>
      </c>
      <c r="I46" s="43">
        <f>'BALANCE SHEET'!D27</f>
        <v>9162.7000000000007</v>
      </c>
      <c r="J46" s="43">
        <f>'BALANCE SHEET'!E27</f>
        <v>18162.3</v>
      </c>
      <c r="K46" s="43">
        <f>'BALANCE SHEET'!F27</f>
        <v>23464</v>
      </c>
      <c r="L46" s="43">
        <f>'BALANCE SHEET'!G27</f>
        <v>23430.9</v>
      </c>
      <c r="M46" s="64">
        <f>L46</f>
        <v>23430.9</v>
      </c>
      <c r="N46" s="64">
        <f t="shared" ref="N46:Q46" si="61">M46</f>
        <v>23430.9</v>
      </c>
      <c r="O46" s="64">
        <f t="shared" si="61"/>
        <v>23430.9</v>
      </c>
      <c r="P46" s="64">
        <f t="shared" si="61"/>
        <v>23430.9</v>
      </c>
      <c r="Q46" s="64">
        <f t="shared" si="61"/>
        <v>23430.9</v>
      </c>
    </row>
    <row r="47" spans="1:17" s="39" customFormat="1" ht="18.5" outlineLevel="1" x14ac:dyDescent="0.45">
      <c r="A47" s="13"/>
      <c r="B47" s="13"/>
      <c r="C47" s="13"/>
      <c r="D47" s="13" t="s">
        <v>190</v>
      </c>
      <c r="E47" s="13"/>
      <c r="F47" s="42" t="s">
        <v>173</v>
      </c>
      <c r="G47" s="13"/>
      <c r="H47" s="43">
        <f>'BALANCE SHEET'!C25</f>
        <v>12484.1</v>
      </c>
      <c r="I47" s="43">
        <f>'BALANCE SHEET'!D25</f>
        <v>16493.599999999999</v>
      </c>
      <c r="J47" s="43">
        <f>'BALANCE SHEET'!E25</f>
        <v>16072.1</v>
      </c>
      <c r="K47" s="43">
        <f>'BALANCE SHEET'!F25</f>
        <v>18846</v>
      </c>
      <c r="L47" s="43">
        <f>'BALANCE SHEET'!G25</f>
        <v>21321.8</v>
      </c>
      <c r="M47" s="64">
        <f>M25*M17/365</f>
        <v>22420.140116468185</v>
      </c>
      <c r="N47" s="64">
        <f t="shared" ref="N47:Q47" si="62">N25*N17/365</f>
        <v>23609.21741645204</v>
      </c>
      <c r="O47" s="64">
        <f t="shared" si="62"/>
        <v>24673.537563484311</v>
      </c>
      <c r="P47" s="64">
        <f t="shared" si="62"/>
        <v>25618.992944936861</v>
      </c>
      <c r="Q47" s="64">
        <f t="shared" si="62"/>
        <v>26453.42426562342</v>
      </c>
    </row>
    <row r="48" spans="1:17" s="39" customFormat="1" ht="18.5" outlineLevel="1" x14ac:dyDescent="0.45">
      <c r="A48" s="13"/>
      <c r="B48" s="13"/>
      <c r="C48" s="13"/>
      <c r="D48" s="13" t="s">
        <v>191</v>
      </c>
      <c r="E48" s="13"/>
      <c r="F48" s="42" t="s">
        <v>173</v>
      </c>
      <c r="G48" s="13"/>
      <c r="H48" s="43">
        <f>'BALANCE SHEET'!C22</f>
        <v>14998.7</v>
      </c>
      <c r="I48" s="43">
        <f>'BALANCE SHEET'!D22</f>
        <v>18188.2</v>
      </c>
      <c r="J48" s="43">
        <f>'BALANCE SHEET'!E22</f>
        <v>23124.400000000001</v>
      </c>
      <c r="K48" s="43">
        <f>'BALANCE SHEET'!F22</f>
        <v>30055.3</v>
      </c>
      <c r="L48" s="43">
        <f>'BALANCE SHEET'!G22</f>
        <v>26075.3</v>
      </c>
      <c r="M48" s="64">
        <f>-M26*M18/365</f>
        <v>29398.552422134751</v>
      </c>
      <c r="N48" s="64">
        <f t="shared" ref="N48:Q48" si="63">-N26*N18/365</f>
        <v>30957.737652733234</v>
      </c>
      <c r="O48" s="64">
        <f t="shared" si="63"/>
        <v>32353.334266934569</v>
      </c>
      <c r="P48" s="64">
        <f t="shared" si="63"/>
        <v>33593.068695445392</v>
      </c>
      <c r="Q48" s="64">
        <f t="shared" si="63"/>
        <v>34687.222112705087</v>
      </c>
    </row>
    <row r="49" spans="1:17" s="39" customFormat="1" ht="18.5" outlineLevel="1" x14ac:dyDescent="0.45">
      <c r="A49" s="13"/>
      <c r="B49" s="13"/>
      <c r="C49" s="13"/>
      <c r="D49" s="13" t="s">
        <v>192</v>
      </c>
      <c r="E49" s="13"/>
      <c r="F49" s="42" t="s">
        <v>173</v>
      </c>
      <c r="G49" s="13"/>
      <c r="H49" s="43">
        <f>'BALANCE SHEET'!C30</f>
        <v>4293.8</v>
      </c>
      <c r="I49" s="43">
        <f>'BALANCE SHEET'!D30</f>
        <v>5266</v>
      </c>
      <c r="J49" s="43">
        <f>'BALANCE SHEET'!E30</f>
        <v>5550.1</v>
      </c>
      <c r="K49" s="43">
        <f>'BALANCE SHEET'!F30</f>
        <v>6322.8</v>
      </c>
      <c r="L49" s="43">
        <f>'BALANCE SHEET'!G30</f>
        <v>7360.9</v>
      </c>
      <c r="M49" s="64">
        <f>L49</f>
        <v>7360.9</v>
      </c>
      <c r="N49" s="64">
        <f t="shared" ref="N49:Q49" si="64">M49</f>
        <v>7360.9</v>
      </c>
      <c r="O49" s="64">
        <f t="shared" si="64"/>
        <v>7360.9</v>
      </c>
      <c r="P49" s="64">
        <f t="shared" si="64"/>
        <v>7360.9</v>
      </c>
      <c r="Q49" s="64">
        <f t="shared" si="64"/>
        <v>7360.9</v>
      </c>
    </row>
    <row r="50" spans="1:17" s="39" customFormat="1" ht="18.5" outlineLevel="1" x14ac:dyDescent="0.45">
      <c r="A50" s="13"/>
      <c r="B50" s="13"/>
      <c r="C50" s="13"/>
      <c r="D50" s="13"/>
      <c r="E50" s="13"/>
      <c r="F50" s="42"/>
      <c r="G50" s="13"/>
      <c r="H50" s="43"/>
      <c r="I50" s="43"/>
      <c r="J50" s="43"/>
      <c r="K50" s="43"/>
      <c r="L50" s="43"/>
      <c r="M50" s="64"/>
      <c r="N50" s="64"/>
      <c r="O50" s="64"/>
      <c r="P50" s="64"/>
      <c r="Q50" s="64"/>
    </row>
    <row r="51" spans="1:17" s="39" customFormat="1" ht="18.5" outlineLevel="1" x14ac:dyDescent="0.45">
      <c r="A51" s="13"/>
      <c r="B51" s="13"/>
      <c r="C51" s="16" t="s">
        <v>193</v>
      </c>
      <c r="D51" s="13"/>
      <c r="E51" s="13"/>
      <c r="F51" s="42"/>
      <c r="G51" s="13"/>
      <c r="H51" s="43"/>
      <c r="I51" s="43"/>
      <c r="J51" s="43"/>
      <c r="K51" s="43"/>
      <c r="L51" s="43"/>
      <c r="M51" s="64"/>
      <c r="N51" s="64"/>
      <c r="O51" s="64"/>
      <c r="P51" s="64"/>
      <c r="Q51" s="64"/>
    </row>
    <row r="52" spans="1:17" s="39" customFormat="1" ht="18.5" outlineLevel="1" x14ac:dyDescent="0.45">
      <c r="A52" s="13"/>
      <c r="B52" s="13"/>
      <c r="C52" s="13"/>
      <c r="D52" s="13" t="s">
        <v>194</v>
      </c>
      <c r="E52" s="13"/>
      <c r="F52" s="42" t="s">
        <v>173</v>
      </c>
      <c r="G52" s="13"/>
      <c r="H52" s="43">
        <f>'BALANCE SHEET'!C6+'BALANCE SHEET'!C7+'BALANCE SHEET'!C8+'BALANCE SHEET'!C11+'BALANCE SHEET'!C12</f>
        <v>26428.400000000001</v>
      </c>
      <c r="I52" s="43">
        <f>'BALANCE SHEET'!D6+'BALANCE SHEET'!D7+'BALANCE SHEET'!D8+'BALANCE SHEET'!D11+'BALANCE SHEET'!D12</f>
        <v>28725.300000000003</v>
      </c>
      <c r="J52" s="43">
        <f>'BALANCE SHEET'!E6+'BALANCE SHEET'!E7+'BALANCE SHEET'!E8+'BALANCE SHEET'!E11+'BALANCE SHEET'!E12</f>
        <v>27908.699999999997</v>
      </c>
      <c r="K52" s="43">
        <f>'BALANCE SHEET'!F6+'BALANCE SHEET'!F7+'BALANCE SHEET'!F8+'BALANCE SHEET'!F11+'BALANCE SHEET'!F12</f>
        <v>28381.200000000001</v>
      </c>
      <c r="L52" s="43">
        <f>'BALANCE SHEET'!G6+'BALANCE SHEET'!G7+'BALANCE SHEET'!G8+'BALANCE SHEET'!G11+'BALANCE SHEET'!G12</f>
        <v>25929</v>
      </c>
      <c r="M52" s="64">
        <f>M121</f>
        <v>24729.622983859088</v>
      </c>
      <c r="N52" s="64">
        <f t="shared" ref="N52:Q52" si="65">N121</f>
        <v>23391.891842564648</v>
      </c>
      <c r="O52" s="64">
        <f t="shared" si="65"/>
        <v>21976.375831933725</v>
      </c>
      <c r="P52" s="64">
        <f t="shared" si="65"/>
        <v>20529.213843002726</v>
      </c>
      <c r="Q52" s="64">
        <f t="shared" si="65"/>
        <v>19085.14520225285</v>
      </c>
    </row>
    <row r="53" spans="1:17" s="39" customFormat="1" ht="18.5" outlineLevel="1" x14ac:dyDescent="0.45">
      <c r="A53" s="13"/>
      <c r="B53" s="13"/>
      <c r="C53" s="13"/>
      <c r="D53" s="13" t="s">
        <v>195</v>
      </c>
      <c r="E53" s="13"/>
      <c r="F53" s="42" t="s">
        <v>173</v>
      </c>
      <c r="G53" s="13"/>
      <c r="H53" s="43">
        <f>'BALANCE SHEET'!C9+'BALANCE SHEET'!C10</f>
        <v>3805.6</v>
      </c>
      <c r="I53" s="43">
        <f>'BALANCE SHEET'!D9+'BALANCE SHEET'!D10</f>
        <v>3984.5</v>
      </c>
      <c r="J53" s="43">
        <f>'BALANCE SHEET'!E9+'BALANCE SHEET'!E10</f>
        <v>3953.9</v>
      </c>
      <c r="K53" s="43">
        <f>'BALANCE SHEET'!F9+'BALANCE SHEET'!F10</f>
        <v>4030.9</v>
      </c>
      <c r="L53" s="43">
        <f>'BALANCE SHEET'!G9+'BALANCE SHEET'!G10</f>
        <v>4131.7</v>
      </c>
      <c r="M53" s="64">
        <f>L53</f>
        <v>4131.7</v>
      </c>
      <c r="N53" s="64">
        <f t="shared" ref="N53:Q53" si="66">M53</f>
        <v>4131.7</v>
      </c>
      <c r="O53" s="64">
        <f t="shared" si="66"/>
        <v>4131.7</v>
      </c>
      <c r="P53" s="64">
        <f t="shared" si="66"/>
        <v>4131.7</v>
      </c>
      <c r="Q53" s="64">
        <f t="shared" si="66"/>
        <v>4131.7</v>
      </c>
    </row>
    <row r="54" spans="1:17" s="39" customFormat="1" ht="18.5" outlineLevel="1" x14ac:dyDescent="0.45">
      <c r="A54" s="13"/>
      <c r="B54" s="13"/>
      <c r="C54" s="13"/>
      <c r="D54" s="13" t="s">
        <v>196</v>
      </c>
      <c r="E54" s="13"/>
      <c r="F54" s="42" t="s">
        <v>173</v>
      </c>
      <c r="G54" s="13"/>
      <c r="H54" s="43">
        <f>'BALANCE SHEET'!C14+'BALANCE SHEET'!C15+'BALANCE SHEET'!C16+'BALANCE SHEET'!C28+'BALANCE SHEET'!C29+'BALANCE SHEET'!C32+'BALANCE SHEET'!C24</f>
        <v>5324.4000000000005</v>
      </c>
      <c r="I54" s="43">
        <f>'BALANCE SHEET'!D14+'BALANCE SHEET'!D15+'BALANCE SHEET'!D16+'BALANCE SHEET'!D28+'BALANCE SHEET'!D29+'BALANCE SHEET'!D32+'BALANCE SHEET'!D24</f>
        <v>5578.3000000000011</v>
      </c>
      <c r="J54" s="43">
        <f>'BALANCE SHEET'!E14+'BALANCE SHEET'!E15+'BALANCE SHEET'!E16+'BALANCE SHEET'!E28+'BALANCE SHEET'!E29+'BALANCE SHEET'!E32+'BALANCE SHEET'!E24</f>
        <v>6864.7</v>
      </c>
      <c r="K54" s="43">
        <f>'BALANCE SHEET'!F14+'BALANCE SHEET'!F15+'BALANCE SHEET'!F16+'BALANCE SHEET'!F28+'BALANCE SHEET'!F29+'BALANCE SHEET'!F32+'BALANCE SHEET'!F24</f>
        <v>12847.999999999998</v>
      </c>
      <c r="L54" s="43">
        <f>'BALANCE SHEET'!G14+'BALANCE SHEET'!G15+'BALANCE SHEET'!G16+'BALANCE SHEET'!G28+'BALANCE SHEET'!G29+'BALANCE SHEET'!G32+'BALANCE SHEET'!G24</f>
        <v>12448.699999999999</v>
      </c>
      <c r="M54" s="64">
        <f t="shared" ref="M54:Q54" si="67">L54</f>
        <v>12448.699999999999</v>
      </c>
      <c r="N54" s="64">
        <f t="shared" si="67"/>
        <v>12448.699999999999</v>
      </c>
      <c r="O54" s="64">
        <f t="shared" si="67"/>
        <v>12448.699999999999</v>
      </c>
      <c r="P54" s="64">
        <f t="shared" si="67"/>
        <v>12448.699999999999</v>
      </c>
      <c r="Q54" s="64">
        <f t="shared" si="67"/>
        <v>12448.699999999999</v>
      </c>
    </row>
    <row r="55" spans="1:17" s="39" customFormat="1" ht="18.5" outlineLevel="1" x14ac:dyDescent="0.45">
      <c r="A55" s="13"/>
      <c r="B55" s="13"/>
      <c r="C55" s="13"/>
      <c r="D55" s="13" t="s">
        <v>197</v>
      </c>
      <c r="E55" s="13"/>
      <c r="F55" s="42" t="s">
        <v>173</v>
      </c>
      <c r="G55" s="13"/>
      <c r="H55" s="43">
        <f>'BALANCE SHEET'!C17+'BALANCE SHEET'!C18+'BALANCE SHEET'!C19</f>
        <v>8130.9</v>
      </c>
      <c r="I55" s="43">
        <f>'BALANCE SHEET'!D17+'BALANCE SHEET'!D18+'BALANCE SHEET'!D19</f>
        <v>10275.300000000001</v>
      </c>
      <c r="J55" s="43">
        <f>'BALANCE SHEET'!E17+'BALANCE SHEET'!E18+'BALANCE SHEET'!E19</f>
        <v>11814.2</v>
      </c>
      <c r="K55" s="43">
        <f>'BALANCE SHEET'!F17+'BALANCE SHEET'!F18+'BALANCE SHEET'!F19</f>
        <v>14421.900000000001</v>
      </c>
      <c r="L55" s="43">
        <f>'BALANCE SHEET'!G17+'BALANCE SHEET'!G18+'BALANCE SHEET'!G19</f>
        <v>14130</v>
      </c>
      <c r="M55" s="64">
        <f t="shared" ref="M55:Q55" si="68">L55</f>
        <v>14130</v>
      </c>
      <c r="N55" s="64">
        <f t="shared" si="68"/>
        <v>14130</v>
      </c>
      <c r="O55" s="64">
        <f t="shared" si="68"/>
        <v>14130</v>
      </c>
      <c r="P55" s="64">
        <f t="shared" si="68"/>
        <v>14130</v>
      </c>
      <c r="Q55" s="64">
        <f t="shared" si="68"/>
        <v>14130</v>
      </c>
    </row>
    <row r="56" spans="1:17" s="39" customFormat="1" ht="19" outlineLevel="1" thickBot="1" x14ac:dyDescent="0.5">
      <c r="A56" s="13"/>
      <c r="B56" s="13"/>
      <c r="C56" s="13"/>
      <c r="D56" s="50" t="s">
        <v>198</v>
      </c>
      <c r="E56" s="50"/>
      <c r="F56" s="51" t="s">
        <v>173</v>
      </c>
      <c r="G56" s="50"/>
      <c r="H56" s="52">
        <f>SUM(H45:H55)</f>
        <v>82081.899999999994</v>
      </c>
      <c r="I56" s="52">
        <f t="shared" ref="I56:L56" si="69">SUM(I45:I55)</f>
        <v>99433.3</v>
      </c>
      <c r="J56" s="52">
        <f t="shared" si="69"/>
        <v>115192.59999999998</v>
      </c>
      <c r="K56" s="52">
        <f t="shared" si="69"/>
        <v>140691.9</v>
      </c>
      <c r="L56" s="52">
        <f t="shared" si="69"/>
        <v>137566.29999999999</v>
      </c>
      <c r="M56" s="52">
        <f t="shared" ref="M56" si="70">SUM(M45:M55)</f>
        <v>151767.05249753944</v>
      </c>
      <c r="N56" s="52">
        <f t="shared" ref="N56" si="71">SUM(N45:N55)</f>
        <v>164920.6087894571</v>
      </c>
      <c r="O56" s="52">
        <f t="shared" ref="O56" si="72">SUM(O45:O55)</f>
        <v>178714.03029052369</v>
      </c>
      <c r="P56" s="52">
        <f t="shared" ref="P56" si="73">SUM(P45:P55)</f>
        <v>193084.10439458274</v>
      </c>
      <c r="Q56" s="52">
        <f t="shared" ref="Q56" si="74">SUM(Q45:Q55)</f>
        <v>207970.86176227708</v>
      </c>
    </row>
    <row r="57" spans="1:17" s="39" customFormat="1" ht="19" outlineLevel="1" thickTop="1" x14ac:dyDescent="0.45">
      <c r="A57" s="13"/>
      <c r="B57" s="13"/>
      <c r="C57" s="13"/>
      <c r="D57" s="13"/>
      <c r="E57" s="13"/>
      <c r="G57" s="13"/>
      <c r="H57" s="46"/>
      <c r="I57" s="46"/>
      <c r="J57" s="46"/>
      <c r="K57" s="46"/>
      <c r="L57" s="46"/>
      <c r="M57" s="64"/>
      <c r="N57" s="64"/>
      <c r="O57" s="64"/>
      <c r="P57" s="64"/>
      <c r="Q57" s="64"/>
    </row>
    <row r="58" spans="1:17" s="39" customFormat="1" ht="18.5" outlineLevel="1" x14ac:dyDescent="0.45">
      <c r="A58" s="13"/>
      <c r="B58" s="16" t="s">
        <v>199</v>
      </c>
      <c r="C58" s="13"/>
      <c r="D58" s="13"/>
      <c r="E58" s="13"/>
      <c r="F58" s="13"/>
      <c r="G58" s="13"/>
      <c r="H58" s="46"/>
      <c r="I58" s="46"/>
      <c r="J58" s="46"/>
      <c r="K58" s="46"/>
      <c r="L58" s="46"/>
      <c r="M58" s="64"/>
      <c r="N58" s="64"/>
      <c r="O58" s="64"/>
      <c r="P58" s="64"/>
      <c r="Q58" s="64"/>
    </row>
    <row r="59" spans="1:17" s="39" customFormat="1" ht="18.5" outlineLevel="1" x14ac:dyDescent="0.45">
      <c r="A59" s="13"/>
      <c r="B59" s="13"/>
      <c r="C59" s="16" t="s">
        <v>200</v>
      </c>
      <c r="D59" s="13"/>
      <c r="E59" s="13"/>
      <c r="F59" s="13"/>
      <c r="G59" s="13"/>
      <c r="H59" s="46"/>
      <c r="I59" s="46"/>
      <c r="J59" s="46"/>
      <c r="K59" s="46"/>
      <c r="L59" s="46"/>
      <c r="M59" s="64"/>
      <c r="N59" s="64"/>
      <c r="O59" s="64"/>
      <c r="P59" s="64"/>
      <c r="Q59" s="64"/>
    </row>
    <row r="60" spans="1:17" s="39" customFormat="1" ht="18.5" outlineLevel="1" x14ac:dyDescent="0.45">
      <c r="A60" s="13"/>
      <c r="B60" s="13"/>
      <c r="C60" s="13"/>
      <c r="D60" s="13" t="s">
        <v>201</v>
      </c>
      <c r="E60" s="13"/>
      <c r="F60" s="42" t="s">
        <v>173</v>
      </c>
      <c r="G60" s="13"/>
      <c r="H60" s="43">
        <f>'BALANCE SHEET'!C57+'BALANCE SHEET'!C58</f>
        <v>9622.5</v>
      </c>
      <c r="I60" s="43">
        <f>'BALANCE SHEET'!D57+'BALANCE SHEET'!D58</f>
        <v>9540.5</v>
      </c>
      <c r="J60" s="43">
        <f>'BALANCE SHEET'!E57+'BALANCE SHEET'!E58</f>
        <v>10694.1</v>
      </c>
      <c r="K60" s="43">
        <f>'BALANCE SHEET'!F57+'BALANCE SHEET'!F58</f>
        <v>11733.800000000001</v>
      </c>
      <c r="L60" s="43">
        <f>'BALANCE SHEET'!G57+'BALANCE SHEET'!G58</f>
        <v>11650.300000000001</v>
      </c>
      <c r="M60" s="64">
        <f>-M26*M19/365</f>
        <v>14238.698175960822</v>
      </c>
      <c r="N60" s="64">
        <f t="shared" ref="N60:Q60" si="75">-N26*N19/365</f>
        <v>14993.863518122102</v>
      </c>
      <c r="O60" s="64">
        <f t="shared" si="75"/>
        <v>15669.797444380458</v>
      </c>
      <c r="P60" s="64">
        <f t="shared" si="75"/>
        <v>16270.242122487198</v>
      </c>
      <c r="Q60" s="64">
        <f t="shared" si="75"/>
        <v>16800.177067679502</v>
      </c>
    </row>
    <row r="61" spans="1:17" s="39" customFormat="1" ht="18.5" outlineLevel="1" x14ac:dyDescent="0.45">
      <c r="A61" s="13"/>
      <c r="B61" s="13"/>
      <c r="C61" s="13"/>
      <c r="D61" s="13" t="s">
        <v>202</v>
      </c>
      <c r="E61" s="13"/>
      <c r="F61" s="42" t="s">
        <v>173</v>
      </c>
      <c r="G61" s="13"/>
      <c r="H61" s="43">
        <f>'BALANCE SHEET'!C59+'BALANCE SHEET'!C60+'BALANCE SHEET'!C61+'BALANCE SHEET'!C62</f>
        <v>5840.1</v>
      </c>
      <c r="I61" s="43">
        <f>'BALANCE SHEET'!D59+'BALANCE SHEET'!D60+'BALANCE SHEET'!D61+'BALANCE SHEET'!D62</f>
        <v>7857.5000000000009</v>
      </c>
      <c r="J61" s="43">
        <f>'BALANCE SHEET'!E59+'BALANCE SHEET'!E60+'BALANCE SHEET'!E61+'BALANCE SHEET'!E62</f>
        <v>8402.9999999999982</v>
      </c>
      <c r="K61" s="43">
        <f>'BALANCE SHEET'!F59+'BALANCE SHEET'!F60+'BALANCE SHEET'!F61+'BALANCE SHEET'!F62</f>
        <v>10396.200000000001</v>
      </c>
      <c r="L61" s="43">
        <f>'BALANCE SHEET'!G59+'BALANCE SHEET'!G60+'BALANCE SHEET'!G61+'BALANCE SHEET'!G62</f>
        <v>12157.699999999999</v>
      </c>
      <c r="M61" s="64">
        <f t="shared" ref="M61:Q61" si="76">L61</f>
        <v>12157.699999999999</v>
      </c>
      <c r="N61" s="64">
        <f t="shared" si="76"/>
        <v>12157.699999999999</v>
      </c>
      <c r="O61" s="64">
        <f t="shared" si="76"/>
        <v>12157.699999999999</v>
      </c>
      <c r="P61" s="64">
        <f t="shared" si="76"/>
        <v>12157.699999999999</v>
      </c>
      <c r="Q61" s="64">
        <f t="shared" si="76"/>
        <v>12157.699999999999</v>
      </c>
    </row>
    <row r="62" spans="1:17" s="39" customFormat="1" ht="18.5" outlineLevel="1" x14ac:dyDescent="0.45">
      <c r="A62" s="13"/>
      <c r="B62" s="13"/>
      <c r="C62" s="13" t="s">
        <v>203</v>
      </c>
      <c r="D62" s="13"/>
      <c r="E62" s="13"/>
      <c r="F62" s="42" t="s">
        <v>173</v>
      </c>
      <c r="G62" s="13"/>
      <c r="H62" s="43"/>
      <c r="I62" s="43"/>
      <c r="J62" s="43"/>
      <c r="K62" s="43"/>
      <c r="L62" s="43"/>
      <c r="M62" s="64"/>
      <c r="N62" s="64"/>
      <c r="O62" s="64"/>
      <c r="P62" s="64"/>
      <c r="Q62" s="64"/>
    </row>
    <row r="63" spans="1:17" s="39" customFormat="1" ht="18.5" outlineLevel="1" x14ac:dyDescent="0.45">
      <c r="A63" s="13"/>
      <c r="B63" s="13"/>
      <c r="C63" s="13"/>
      <c r="D63" s="13" t="s">
        <v>204</v>
      </c>
      <c r="E63" s="13"/>
      <c r="F63" s="42" t="s">
        <v>173</v>
      </c>
      <c r="G63" s="13"/>
      <c r="H63" s="43">
        <f>'BALANCE SHEET'!C54+'BALANCE SHEET'!C55+'BALANCE SHEET'!C45+'BALANCE SHEET'!C46</f>
        <v>9025.7000000000007</v>
      </c>
      <c r="I63" s="43">
        <f>'BALANCE SHEET'!D54+'BALANCE SHEET'!D55+'BALANCE SHEET'!D45+'BALANCE SHEET'!D46</f>
        <v>16627.5</v>
      </c>
      <c r="J63" s="43">
        <f>'BALANCE SHEET'!E54+'BALANCE SHEET'!E55+'BALANCE SHEET'!E45+'BALANCE SHEET'!E46</f>
        <v>17919.8</v>
      </c>
      <c r="K63" s="43">
        <f>'BALANCE SHEET'!F54+'BALANCE SHEET'!F55+'BALANCE SHEET'!F45+'BALANCE SHEET'!F46</f>
        <v>26681.9</v>
      </c>
      <c r="L63" s="43">
        <f>'BALANCE SHEET'!G54+'BALANCE SHEET'!G55+'BALANCE SHEET'!G45+'BALANCE SHEET'!G46</f>
        <v>13966.8</v>
      </c>
      <c r="M63" s="64">
        <f>M126</f>
        <v>13966.8</v>
      </c>
      <c r="N63" s="64">
        <f t="shared" ref="N63:Q63" si="77">N126</f>
        <v>13966.8</v>
      </c>
      <c r="O63" s="64">
        <f t="shared" si="77"/>
        <v>13966.8</v>
      </c>
      <c r="P63" s="64">
        <f t="shared" si="77"/>
        <v>13966.8</v>
      </c>
      <c r="Q63" s="64">
        <f t="shared" si="77"/>
        <v>13966.8</v>
      </c>
    </row>
    <row r="64" spans="1:17" s="39" customFormat="1" ht="18.5" outlineLevel="1" x14ac:dyDescent="0.45">
      <c r="A64" s="13"/>
      <c r="B64" s="13"/>
      <c r="C64" s="13"/>
      <c r="D64" s="13" t="s">
        <v>205</v>
      </c>
      <c r="E64" s="13"/>
      <c r="F64" s="42" t="s">
        <v>173</v>
      </c>
      <c r="G64" s="13"/>
      <c r="H64" s="43">
        <f>'BALANCE SHEET'!C47+'BALANCE SHEET'!C48+'BALANCE SHEET'!C49+'BALANCE SHEET'!C50</f>
        <v>1874.1000000000001</v>
      </c>
      <c r="I64" s="43">
        <f>'BALANCE SHEET'!D47+'BALANCE SHEET'!D48+'BALANCE SHEET'!D49+'BALANCE SHEET'!D50</f>
        <v>2318.1</v>
      </c>
      <c r="J64" s="43">
        <f>'BALANCE SHEET'!E47+'BALANCE SHEET'!E48+'BALANCE SHEET'!E49+'BALANCE SHEET'!E50</f>
        <v>2595.6000000000004</v>
      </c>
      <c r="K64" s="43">
        <f>'BALANCE SHEET'!F47+'BALANCE SHEET'!F48+'BALANCE SHEET'!F49+'BALANCE SHEET'!F50</f>
        <v>3406.7</v>
      </c>
      <c r="L64" s="43">
        <f>'BALANCE SHEET'!G47+'BALANCE SHEET'!G48+'BALANCE SHEET'!G49+'BALANCE SHEET'!G50</f>
        <v>5441.7</v>
      </c>
      <c r="M64" s="64">
        <f t="shared" ref="M64:Q64" si="78">L64</f>
        <v>5441.7</v>
      </c>
      <c r="N64" s="64">
        <f t="shared" si="78"/>
        <v>5441.7</v>
      </c>
      <c r="O64" s="64">
        <f t="shared" si="78"/>
        <v>5441.7</v>
      </c>
      <c r="P64" s="64">
        <f t="shared" si="78"/>
        <v>5441.7</v>
      </c>
      <c r="Q64" s="64">
        <f t="shared" si="78"/>
        <v>5441.7</v>
      </c>
    </row>
    <row r="65" spans="1:17" s="39" customFormat="1" ht="18.5" outlineLevel="1" x14ac:dyDescent="0.45">
      <c r="A65" s="13"/>
      <c r="B65" s="13"/>
      <c r="C65" s="13"/>
      <c r="D65" s="17" t="s">
        <v>206</v>
      </c>
      <c r="E65" s="17"/>
      <c r="F65" s="44" t="s">
        <v>173</v>
      </c>
      <c r="G65" s="17"/>
      <c r="H65" s="45">
        <f>SUM(H60:H64)</f>
        <v>26362.400000000001</v>
      </c>
      <c r="I65" s="45">
        <f t="shared" ref="I65:L65" si="79">SUM(I60:I64)</f>
        <v>36343.599999999999</v>
      </c>
      <c r="J65" s="45">
        <f t="shared" si="79"/>
        <v>39612.499999999993</v>
      </c>
      <c r="K65" s="45">
        <f t="shared" si="79"/>
        <v>52218.6</v>
      </c>
      <c r="L65" s="45">
        <f t="shared" si="79"/>
        <v>43216.5</v>
      </c>
      <c r="M65" s="45">
        <f t="shared" ref="M65" si="80">SUM(M60:M64)</f>
        <v>45804.898175960814</v>
      </c>
      <c r="N65" s="45">
        <f t="shared" ref="N65" si="81">SUM(N60:N64)</f>
        <v>46560.063518122101</v>
      </c>
      <c r="O65" s="45">
        <f t="shared" ref="O65" si="82">SUM(O60:O64)</f>
        <v>47235.997444380453</v>
      </c>
      <c r="P65" s="45">
        <f t="shared" ref="P65" si="83">SUM(P60:P64)</f>
        <v>47836.442122487191</v>
      </c>
      <c r="Q65" s="45">
        <f t="shared" ref="Q65" si="84">SUM(Q60:Q64)</f>
        <v>48366.377067679496</v>
      </c>
    </row>
    <row r="66" spans="1:17" s="39" customFormat="1" ht="18.5" outlineLevel="1" x14ac:dyDescent="0.45">
      <c r="A66" s="13"/>
      <c r="B66" s="13"/>
      <c r="C66" s="16" t="s">
        <v>207</v>
      </c>
      <c r="D66" s="13"/>
      <c r="E66" s="13"/>
      <c r="F66" s="42"/>
      <c r="G66" s="13"/>
      <c r="H66" s="46"/>
      <c r="I66" s="46"/>
      <c r="J66" s="46"/>
      <c r="K66" s="46"/>
      <c r="L66" s="46"/>
      <c r="M66" s="64"/>
      <c r="N66" s="64"/>
      <c r="O66" s="64"/>
      <c r="P66" s="64"/>
      <c r="Q66" s="64"/>
    </row>
    <row r="67" spans="1:17" s="39" customFormat="1" ht="18.5" outlineLevel="1" x14ac:dyDescent="0.45">
      <c r="A67" s="13"/>
      <c r="B67" s="13"/>
      <c r="C67" s="13"/>
      <c r="D67" s="13" t="s">
        <v>208</v>
      </c>
      <c r="E67" s="13"/>
      <c r="F67" s="42" t="s">
        <v>173</v>
      </c>
      <c r="G67" s="13"/>
      <c r="H67" s="43">
        <f>'BALANCE SHEET'!C37</f>
        <v>239.1</v>
      </c>
      <c r="I67" s="43">
        <f>'BALANCE SHEET'!D37</f>
        <v>239.1</v>
      </c>
      <c r="J67" s="43">
        <f>'BALANCE SHEET'!E37</f>
        <v>239.1</v>
      </c>
      <c r="K67" s="43">
        <f>'BALANCE SHEET'!F37</f>
        <v>239.1</v>
      </c>
      <c r="L67" s="43">
        <f>'BALANCE SHEET'!G37</f>
        <v>239.1</v>
      </c>
      <c r="M67" s="43">
        <f>L67</f>
        <v>239.1</v>
      </c>
      <c r="N67" s="43">
        <f t="shared" ref="N67:Q67" si="85">M67</f>
        <v>239.1</v>
      </c>
      <c r="O67" s="43">
        <f t="shared" si="85"/>
        <v>239.1</v>
      </c>
      <c r="P67" s="43">
        <f t="shared" si="85"/>
        <v>239.1</v>
      </c>
      <c r="Q67" s="43">
        <f t="shared" si="85"/>
        <v>239.1</v>
      </c>
    </row>
    <row r="68" spans="1:17" s="39" customFormat="1" ht="18.5" outlineLevel="1" x14ac:dyDescent="0.45">
      <c r="A68" s="13"/>
      <c r="B68" s="13"/>
      <c r="C68" s="13"/>
      <c r="D68" s="13" t="s">
        <v>209</v>
      </c>
      <c r="E68" s="13"/>
      <c r="F68" s="42" t="s">
        <v>173</v>
      </c>
      <c r="G68" s="13"/>
      <c r="H68" s="43">
        <f>'BALANCE SHEET'!C38</f>
        <v>54154.3</v>
      </c>
      <c r="I68" s="43">
        <f>'BALANCE SHEET'!D38</f>
        <v>61367.6</v>
      </c>
      <c r="J68" s="43">
        <f>'BALANCE SHEET'!E38</f>
        <v>73528.2</v>
      </c>
      <c r="K68" s="43">
        <f>'BALANCE SHEET'!F38</f>
        <v>86139.9</v>
      </c>
      <c r="L68" s="43">
        <f>'BALANCE SHEET'!G38</f>
        <v>90213.8</v>
      </c>
      <c r="M68" s="64">
        <f>L68+M38+M98</f>
        <v>101826.15432157861</v>
      </c>
      <c r="N68" s="64">
        <f t="shared" ref="N68:Q68" si="86">M68+N38+N98</f>
        <v>114224.54527133497</v>
      </c>
      <c r="O68" s="64">
        <f t="shared" si="86"/>
        <v>127342.03284614319</v>
      </c>
      <c r="P68" s="64">
        <f t="shared" si="86"/>
        <v>141111.66227209551</v>
      </c>
      <c r="Q68" s="64">
        <f t="shared" si="86"/>
        <v>155468.48469459754</v>
      </c>
    </row>
    <row r="69" spans="1:17" s="39" customFormat="1" ht="18.5" outlineLevel="1" x14ac:dyDescent="0.45">
      <c r="A69" s="13"/>
      <c r="B69" s="13"/>
      <c r="C69" s="13"/>
      <c r="D69" s="47" t="s">
        <v>210</v>
      </c>
      <c r="E69" s="47"/>
      <c r="F69" s="48" t="s">
        <v>173</v>
      </c>
      <c r="G69" s="47"/>
      <c r="H69" s="49">
        <f>SUM(H67:H68)</f>
        <v>54393.4</v>
      </c>
      <c r="I69" s="49">
        <f t="shared" ref="I69:L69" si="87">SUM(I67:I68)</f>
        <v>61606.7</v>
      </c>
      <c r="J69" s="49">
        <f t="shared" si="87"/>
        <v>73767.3</v>
      </c>
      <c r="K69" s="49">
        <f t="shared" si="87"/>
        <v>86379</v>
      </c>
      <c r="L69" s="49">
        <f t="shared" si="87"/>
        <v>90452.900000000009</v>
      </c>
      <c r="M69" s="49">
        <f t="shared" ref="M69" si="88">SUM(M67:M68)</f>
        <v>102065.25432157861</v>
      </c>
      <c r="N69" s="49">
        <f t="shared" ref="N69" si="89">SUM(N67:N68)</f>
        <v>114463.64527133497</v>
      </c>
      <c r="O69" s="49">
        <f t="shared" ref="O69" si="90">SUM(O67:O68)</f>
        <v>127581.1328461432</v>
      </c>
      <c r="P69" s="49">
        <f t="shared" ref="P69" si="91">SUM(P67:P68)</f>
        <v>141350.76227209551</v>
      </c>
      <c r="Q69" s="49">
        <f t="shared" ref="Q69" si="92">SUM(Q67:Q68)</f>
        <v>155707.58469459755</v>
      </c>
    </row>
    <row r="70" spans="1:17" s="39" customFormat="1" ht="18.5" outlineLevel="1" x14ac:dyDescent="0.45">
      <c r="A70" s="13"/>
      <c r="B70" s="13"/>
      <c r="C70" s="13"/>
      <c r="D70" s="13" t="s">
        <v>211</v>
      </c>
      <c r="E70" s="13"/>
      <c r="F70" s="42" t="s">
        <v>173</v>
      </c>
      <c r="G70" s="13"/>
      <c r="H70" s="43">
        <f>'BALANCE SHEET'!C40</f>
        <v>1326.1</v>
      </c>
      <c r="I70" s="43">
        <f>'BALANCE SHEET'!D40</f>
        <v>1483</v>
      </c>
      <c r="J70" s="43">
        <f>'BALANCE SHEET'!E40</f>
        <v>1812.8</v>
      </c>
      <c r="K70" s="43">
        <f>'BALANCE SHEET'!F40</f>
        <v>2094.3000000000002</v>
      </c>
      <c r="L70" s="43">
        <f>'BALANCE SHEET'!G40</f>
        <v>3897.1</v>
      </c>
      <c r="M70" s="64">
        <f t="shared" ref="M70:Q70" si="93">L70</f>
        <v>3897.1</v>
      </c>
      <c r="N70" s="64">
        <f t="shared" si="93"/>
        <v>3897.1</v>
      </c>
      <c r="O70" s="64">
        <f t="shared" si="93"/>
        <v>3897.1</v>
      </c>
      <c r="P70" s="64">
        <f t="shared" si="93"/>
        <v>3897.1</v>
      </c>
      <c r="Q70" s="64">
        <f t="shared" si="93"/>
        <v>3897.1</v>
      </c>
    </row>
    <row r="71" spans="1:17" s="39" customFormat="1" ht="19" outlineLevel="1" thickBot="1" x14ac:dyDescent="0.5">
      <c r="A71" s="13"/>
      <c r="B71" s="13"/>
      <c r="C71" s="13"/>
      <c r="D71" s="50" t="s">
        <v>212</v>
      </c>
      <c r="E71" s="50"/>
      <c r="F71" s="51" t="s">
        <v>173</v>
      </c>
      <c r="G71" s="50"/>
      <c r="H71" s="52">
        <f>SUM(H65,H69,H70)</f>
        <v>82081.900000000009</v>
      </c>
      <c r="I71" s="52">
        <f t="shared" ref="I71:L71" si="94">SUM(I65,I69,I70)</f>
        <v>99433.299999999988</v>
      </c>
      <c r="J71" s="52">
        <f t="shared" si="94"/>
        <v>115192.59999999999</v>
      </c>
      <c r="K71" s="52">
        <f t="shared" si="94"/>
        <v>140691.9</v>
      </c>
      <c r="L71" s="52">
        <f t="shared" si="94"/>
        <v>137566.50000000003</v>
      </c>
      <c r="M71" s="52">
        <f t="shared" ref="M71" si="95">SUM(M65,M69,M70)</f>
        <v>151767.25249753942</v>
      </c>
      <c r="N71" s="52">
        <f t="shared" ref="N71" si="96">SUM(N65,N69,N70)</f>
        <v>164920.80878945708</v>
      </c>
      <c r="O71" s="52">
        <f t="shared" ref="O71" si="97">SUM(O65,O69,O70)</f>
        <v>178714.23029052364</v>
      </c>
      <c r="P71" s="52">
        <f t="shared" ref="P71" si="98">SUM(P65,P69,P70)</f>
        <v>193084.30439458272</v>
      </c>
      <c r="Q71" s="52">
        <f t="shared" ref="Q71" si="99">SUM(Q65,Q69,Q70)</f>
        <v>207971.06176227707</v>
      </c>
    </row>
    <row r="72" spans="1:17" s="39" customFormat="1" ht="19" outlineLevel="1" thickTop="1" x14ac:dyDescent="0.45">
      <c r="A72" s="13"/>
      <c r="B72" s="13"/>
      <c r="C72" s="13"/>
      <c r="D72" s="13"/>
      <c r="E72" s="13"/>
      <c r="F72" s="13"/>
      <c r="G72" s="13"/>
      <c r="H72" s="43"/>
      <c r="I72" s="43"/>
      <c r="J72" s="43"/>
      <c r="K72" s="43"/>
      <c r="L72" s="43"/>
      <c r="M72" s="64"/>
      <c r="N72" s="64"/>
      <c r="O72" s="64"/>
      <c r="P72" s="64"/>
      <c r="Q72" s="64"/>
    </row>
    <row r="73" spans="1:17" s="39" customFormat="1" ht="18.5" outlineLevel="1" x14ac:dyDescent="0.45">
      <c r="A73" s="13"/>
      <c r="B73" s="13"/>
      <c r="C73" s="13"/>
      <c r="D73" s="13" t="s">
        <v>213</v>
      </c>
      <c r="E73" s="13"/>
      <c r="F73" s="13"/>
      <c r="G73" s="13"/>
      <c r="H73" s="43">
        <f>H71-H56</f>
        <v>0</v>
      </c>
      <c r="I73" s="43">
        <f t="shared" ref="I73:Q73" si="100">I71-I56</f>
        <v>0</v>
      </c>
      <c r="J73" s="43">
        <f t="shared" si="100"/>
        <v>0</v>
      </c>
      <c r="K73" s="43">
        <f t="shared" si="100"/>
        <v>0</v>
      </c>
      <c r="L73" s="43">
        <f t="shared" si="100"/>
        <v>0.20000000004074536</v>
      </c>
      <c r="M73" s="43">
        <f t="shared" si="100"/>
        <v>0.1999999999825377</v>
      </c>
      <c r="N73" s="43">
        <f t="shared" si="100"/>
        <v>0.1999999999825377</v>
      </c>
      <c r="O73" s="43">
        <f t="shared" si="100"/>
        <v>0.19999999995343387</v>
      </c>
      <c r="P73" s="43">
        <f t="shared" si="100"/>
        <v>0.1999999999825377</v>
      </c>
      <c r="Q73" s="43">
        <f t="shared" si="100"/>
        <v>0.1999999999825377</v>
      </c>
    </row>
    <row r="74" spans="1:17" s="39" customFormat="1" ht="18.5" outlineLevel="1" x14ac:dyDescent="0.45">
      <c r="A74" s="13"/>
      <c r="B74" s="13"/>
      <c r="C74" s="13"/>
      <c r="D74" s="13"/>
      <c r="E74" s="13"/>
      <c r="F74" s="13"/>
      <c r="G74" s="13"/>
      <c r="H74" s="43"/>
      <c r="I74" s="43"/>
      <c r="J74" s="43"/>
      <c r="K74" s="43"/>
      <c r="L74" s="43"/>
      <c r="M74" s="40"/>
      <c r="N74" s="40"/>
      <c r="O74" s="40"/>
      <c r="P74" s="40"/>
      <c r="Q74" s="40"/>
    </row>
    <row r="75" spans="1:17" s="39" customFormat="1" ht="18.5" x14ac:dyDescent="0.45">
      <c r="A75" s="13"/>
      <c r="B75" s="13"/>
      <c r="C75" s="13"/>
      <c r="D75" s="13"/>
      <c r="E75" s="13"/>
      <c r="F75" s="13"/>
      <c r="G75" s="13"/>
      <c r="H75" s="43"/>
      <c r="I75" s="43"/>
      <c r="J75" s="43"/>
      <c r="K75" s="43"/>
      <c r="L75" s="43"/>
      <c r="M75" s="40"/>
      <c r="N75" s="40"/>
      <c r="O75" s="40"/>
      <c r="P75" s="40"/>
      <c r="Q75" s="40"/>
    </row>
    <row r="76" spans="1:17" s="39" customFormat="1" ht="18.5" x14ac:dyDescent="0.45">
      <c r="A76" s="13"/>
      <c r="B76" s="13"/>
      <c r="C76" s="13"/>
      <c r="D76" s="13"/>
      <c r="E76" s="13"/>
      <c r="F76" s="13"/>
      <c r="G76" s="13"/>
      <c r="H76" s="43"/>
      <c r="I76" s="43"/>
      <c r="J76" s="43"/>
      <c r="K76" s="43"/>
      <c r="L76" s="43"/>
      <c r="M76" s="40"/>
      <c r="N76" s="40"/>
      <c r="O76" s="40"/>
      <c r="P76" s="40"/>
      <c r="Q76" s="40"/>
    </row>
    <row r="77" spans="1:17" s="39" customFormat="1" ht="20.5" x14ac:dyDescent="0.45">
      <c r="A77" s="38" t="s">
        <v>216</v>
      </c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</row>
    <row r="78" spans="1:17" s="39" customFormat="1" ht="18.5" x14ac:dyDescent="0.45">
      <c r="A78" s="13"/>
      <c r="B78" s="13"/>
      <c r="C78" s="13"/>
      <c r="D78" s="13"/>
      <c r="E78" s="13"/>
      <c r="F78" s="13"/>
      <c r="G78" s="13"/>
      <c r="H78" s="43"/>
      <c r="I78" s="43"/>
      <c r="J78" s="43"/>
      <c r="K78" s="43"/>
      <c r="L78" s="43"/>
      <c r="M78" s="40"/>
      <c r="N78" s="40"/>
      <c r="O78" s="40"/>
      <c r="P78" s="40"/>
      <c r="Q78" s="40"/>
    </row>
    <row r="79" spans="1:17" s="39" customFormat="1" ht="18.5" outlineLevel="1" x14ac:dyDescent="0.45">
      <c r="A79" s="13"/>
      <c r="B79" s="13"/>
      <c r="C79" s="13" t="s">
        <v>217</v>
      </c>
      <c r="D79" s="13"/>
      <c r="E79" s="13"/>
      <c r="F79" s="13"/>
      <c r="G79" s="13"/>
      <c r="H79" s="43"/>
      <c r="I79" s="43"/>
      <c r="J79" s="43"/>
      <c r="K79" s="43"/>
      <c r="L79" s="43"/>
      <c r="M79" s="40"/>
      <c r="N79" s="40"/>
      <c r="O79" s="40"/>
      <c r="P79" s="40"/>
      <c r="Q79" s="40"/>
    </row>
    <row r="80" spans="1:17" s="39" customFormat="1" ht="18.5" outlineLevel="1" x14ac:dyDescent="0.45">
      <c r="A80" s="13"/>
      <c r="B80" s="13"/>
      <c r="C80" s="13"/>
      <c r="D80" s="13" t="s">
        <v>218</v>
      </c>
      <c r="E80" s="13"/>
      <c r="F80" s="42" t="s">
        <v>173</v>
      </c>
      <c r="G80" s="13"/>
      <c r="H80" s="43">
        <f>'Cash Flow Statement'!C5+'Cash Flow Statement'!C32</f>
        <v>7035.5</v>
      </c>
      <c r="I80" s="43">
        <f>'Cash Flow Statement'!D5+'Cash Flow Statement'!D32</f>
        <v>9764.0999999999985</v>
      </c>
      <c r="J80" s="43">
        <f>'Cash Flow Statement'!E5+'Cash Flow Statement'!E32</f>
        <v>14414.2</v>
      </c>
      <c r="K80" s="43">
        <f>'Cash Flow Statement'!F5+'Cash Flow Statement'!F32</f>
        <v>14473.8</v>
      </c>
      <c r="L80" s="43">
        <f>'Cash Flow Statement'!G5+'Cash Flow Statement'!G32</f>
        <v>10313.800000000001</v>
      </c>
      <c r="M80" s="64">
        <f t="shared" ref="M80:Q80" si="101">M38</f>
        <v>17326.47604796425</v>
      </c>
      <c r="N80" s="64">
        <f t="shared" si="101"/>
        <v>18499.299786698852</v>
      </c>
      <c r="O80" s="64">
        <f t="shared" si="101"/>
        <v>19572.244178946701</v>
      </c>
      <c r="P80" s="64">
        <f t="shared" si="101"/>
        <v>20545.287185628495</v>
      </c>
      <c r="Q80" s="64">
        <f t="shared" si="101"/>
        <v>21421.421784048867</v>
      </c>
    </row>
    <row r="81" spans="1:17" s="39" customFormat="1" ht="18.5" outlineLevel="1" x14ac:dyDescent="0.45">
      <c r="A81" s="13"/>
      <c r="B81" s="13"/>
      <c r="C81" s="13"/>
      <c r="D81" s="13" t="s">
        <v>219</v>
      </c>
      <c r="E81" s="13"/>
      <c r="F81" s="42" t="s">
        <v>173</v>
      </c>
      <c r="G81" s="13"/>
      <c r="H81" s="43">
        <f>'Cash Flow Statement'!C7</f>
        <v>1931.8</v>
      </c>
      <c r="I81" s="43">
        <f>'Cash Flow Statement'!D7</f>
        <v>2527.6</v>
      </c>
      <c r="J81" s="43">
        <f>'Cash Flow Statement'!E7</f>
        <v>2745.8</v>
      </c>
      <c r="K81" s="43">
        <f>'Cash Flow Statement'!F7</f>
        <v>3039.6</v>
      </c>
      <c r="L81" s="43">
        <f>'Cash Flow Statement'!G7</f>
        <v>3104.2</v>
      </c>
      <c r="M81" s="64">
        <f>-M32</f>
        <v>2654.5801895336244</v>
      </c>
      <c r="N81" s="64">
        <f t="shared" ref="N81:Q81" si="102">-N32</f>
        <v>2531.789396721344</v>
      </c>
      <c r="O81" s="64">
        <f t="shared" si="102"/>
        <v>2394.8340730836244</v>
      </c>
      <c r="P81" s="64">
        <f t="shared" si="102"/>
        <v>2249.9152270121017</v>
      </c>
      <c r="Q81" s="64">
        <f t="shared" si="102"/>
        <v>2101.756503310366</v>
      </c>
    </row>
    <row r="82" spans="1:17" s="39" customFormat="1" ht="18.5" outlineLevel="1" x14ac:dyDescent="0.45">
      <c r="A82" s="13"/>
      <c r="B82" s="13"/>
      <c r="C82" s="13"/>
      <c r="D82" s="13" t="s">
        <v>220</v>
      </c>
      <c r="E82" s="13"/>
      <c r="F82" s="42" t="s">
        <v>173</v>
      </c>
      <c r="G82" s="13"/>
      <c r="H82" s="43">
        <f>'Cash Flow Statement'!C22-'Cash Flow Statement'!C7</f>
        <v>231.89999999999986</v>
      </c>
      <c r="I82" s="43">
        <f>'Cash Flow Statement'!D22-'Cash Flow Statement'!D7</f>
        <v>31.099999999999909</v>
      </c>
      <c r="J82" s="43">
        <f>'Cash Flow Statement'!E22-'Cash Flow Statement'!E7</f>
        <v>-1099.4000000000003</v>
      </c>
      <c r="K82" s="43">
        <f>'Cash Flow Statement'!F22-'Cash Flow Statement'!F7</f>
        <v>-953.59999999999991</v>
      </c>
      <c r="L82" s="43">
        <f>'Cash Flow Statement'!G22-'Cash Flow Statement'!G7</f>
        <v>139.30000000000018</v>
      </c>
      <c r="M82" s="64">
        <f>-M34-M35</f>
        <v>-1214.6127500025373</v>
      </c>
      <c r="N82" s="64">
        <f t="shared" ref="N82:Q82" si="103">-N34-N35</f>
        <v>-1311.8053587996301</v>
      </c>
      <c r="O82" s="64">
        <f t="shared" si="103"/>
        <v>-1398.8005875259514</v>
      </c>
      <c r="P82" s="64">
        <f t="shared" si="103"/>
        <v>-1476.0800671912953</v>
      </c>
      <c r="Q82" s="64">
        <f t="shared" si="103"/>
        <v>-1544.284680062663</v>
      </c>
    </row>
    <row r="83" spans="1:17" s="39" customFormat="1" ht="18.5" outlineLevel="1" x14ac:dyDescent="0.45">
      <c r="A83" s="13"/>
      <c r="B83" s="13"/>
      <c r="C83" s="13"/>
      <c r="D83" s="13" t="s">
        <v>221</v>
      </c>
      <c r="E83" s="13"/>
      <c r="F83" s="42" t="s">
        <v>173</v>
      </c>
      <c r="G83" s="13"/>
      <c r="H83" s="64">
        <f>H115</f>
        <v>-1402.7</v>
      </c>
      <c r="I83" s="64">
        <f t="shared" ref="I83:L83" si="104">I115</f>
        <v>-6472</v>
      </c>
      <c r="J83" s="64">
        <f t="shared" si="104"/>
        <v>-3411.6000000000004</v>
      </c>
      <c r="K83" s="64">
        <f t="shared" si="104"/>
        <v>-5449.6</v>
      </c>
      <c r="L83" s="64">
        <f t="shared" si="104"/>
        <v>3267.7000000000003</v>
      </c>
      <c r="M83" s="64">
        <f>M115</f>
        <v>-1833.1943626421162</v>
      </c>
      <c r="N83" s="64">
        <f t="shared" ref="N83:Q83" si="105">N115</f>
        <v>-1993.0971884210594</v>
      </c>
      <c r="O83" s="64">
        <f t="shared" si="105"/>
        <v>-1783.9828349752497</v>
      </c>
      <c r="P83" s="64">
        <f t="shared" si="105"/>
        <v>-1584.7451318566327</v>
      </c>
      <c r="Q83" s="64">
        <f t="shared" si="105"/>
        <v>-1398.6497927539494</v>
      </c>
    </row>
    <row r="84" spans="1:17" s="39" customFormat="1" ht="18.5" outlineLevel="1" x14ac:dyDescent="0.45">
      <c r="A84" s="13"/>
      <c r="B84" s="13"/>
      <c r="C84" s="13"/>
      <c r="D84" s="60" t="s">
        <v>222</v>
      </c>
      <c r="E84" s="60"/>
      <c r="F84" s="61" t="s">
        <v>173</v>
      </c>
      <c r="G84" s="60"/>
      <c r="H84" s="62">
        <f>SUM(H80:H83)</f>
        <v>7796.4999999999991</v>
      </c>
      <c r="I84" s="62">
        <f t="shared" ref="I84:L84" si="106">SUM(I80:I83)</f>
        <v>5850.7999999999993</v>
      </c>
      <c r="J84" s="62">
        <f t="shared" si="106"/>
        <v>12649</v>
      </c>
      <c r="K84" s="62">
        <f t="shared" si="106"/>
        <v>11110.199999999999</v>
      </c>
      <c r="L84" s="62">
        <f t="shared" si="106"/>
        <v>16825</v>
      </c>
      <c r="M84" s="62">
        <f t="shared" ref="M84" si="107">SUM(M80:M83)</f>
        <v>16933.249124853224</v>
      </c>
      <c r="N84" s="62">
        <f t="shared" ref="N84" si="108">SUM(N80:N83)</f>
        <v>17726.186636199509</v>
      </c>
      <c r="O84" s="62">
        <f t="shared" ref="O84" si="109">SUM(O80:O83)</f>
        <v>18784.294829529124</v>
      </c>
      <c r="P84" s="62">
        <f t="shared" ref="P84" si="110">SUM(P80:P83)</f>
        <v>19734.37721359267</v>
      </c>
      <c r="Q84" s="62">
        <f t="shared" ref="Q84" si="111">SUM(Q80:Q83)</f>
        <v>20580.243814542624</v>
      </c>
    </row>
    <row r="85" spans="1:17" s="39" customFormat="1" ht="18.5" outlineLevel="1" x14ac:dyDescent="0.45">
      <c r="A85" s="13"/>
      <c r="B85" s="13"/>
      <c r="C85" s="13"/>
      <c r="D85" s="13"/>
      <c r="E85" s="13"/>
      <c r="F85" s="42"/>
      <c r="G85" s="13"/>
      <c r="H85" s="43"/>
      <c r="I85" s="43"/>
      <c r="J85" s="43"/>
      <c r="K85" s="43"/>
      <c r="L85" s="43"/>
      <c r="M85" s="64"/>
      <c r="N85" s="64"/>
      <c r="O85" s="64"/>
      <c r="P85" s="64"/>
      <c r="Q85" s="64"/>
    </row>
    <row r="86" spans="1:17" s="39" customFormat="1" ht="18.5" outlineLevel="1" x14ac:dyDescent="0.45">
      <c r="A86" s="13"/>
      <c r="B86" s="13"/>
      <c r="C86" s="13" t="s">
        <v>223</v>
      </c>
      <c r="D86" s="13"/>
      <c r="E86" s="13"/>
      <c r="F86" s="42" t="s">
        <v>173</v>
      </c>
      <c r="G86" s="13"/>
      <c r="H86" s="43"/>
      <c r="I86" s="43"/>
      <c r="J86" s="43"/>
      <c r="K86" s="43"/>
      <c r="L86" s="43"/>
      <c r="M86" s="64"/>
      <c r="N86" s="64"/>
      <c r="O86" s="64"/>
      <c r="P86" s="64"/>
      <c r="Q86" s="64"/>
    </row>
    <row r="87" spans="1:17" s="39" customFormat="1" ht="18.5" outlineLevel="1" x14ac:dyDescent="0.45">
      <c r="A87" s="13"/>
      <c r="B87" s="13"/>
      <c r="C87" s="13"/>
      <c r="D87" s="13" t="s">
        <v>224</v>
      </c>
      <c r="E87" s="13"/>
      <c r="F87" s="42" t="s">
        <v>173</v>
      </c>
      <c r="G87" s="13"/>
      <c r="H87" s="43">
        <f>'Cash Flow Statement'!C35</f>
        <v>-5291.6</v>
      </c>
      <c r="I87" s="43">
        <f>'Cash Flow Statement'!D35</f>
        <v>-3630.9</v>
      </c>
      <c r="J87" s="43">
        <f>'Cash Flow Statement'!E35</f>
        <v>-1949.1</v>
      </c>
      <c r="K87" s="43">
        <f>'Cash Flow Statement'!F35</f>
        <v>-3388.8</v>
      </c>
      <c r="L87" s="43">
        <f>'Cash Flow Statement'!G35</f>
        <v>-2329.1</v>
      </c>
      <c r="M87" s="64">
        <f t="shared" ref="M87:Q87" si="112">-M119</f>
        <v>-1455.2031733927122</v>
      </c>
      <c r="N87" s="64">
        <f t="shared" si="112"/>
        <v>-1194.0582554269013</v>
      </c>
      <c r="O87" s="64">
        <f t="shared" si="112"/>
        <v>-979.31806245269979</v>
      </c>
      <c r="P87" s="64">
        <f t="shared" si="112"/>
        <v>-802.75323808110397</v>
      </c>
      <c r="Q87" s="64">
        <f t="shared" si="112"/>
        <v>-657.68786256049248</v>
      </c>
    </row>
    <row r="88" spans="1:17" s="39" customFormat="1" ht="18.5" outlineLevel="1" x14ac:dyDescent="0.45">
      <c r="A88" s="13"/>
      <c r="B88" s="13"/>
      <c r="C88" s="13"/>
      <c r="D88" s="13" t="s">
        <v>225</v>
      </c>
      <c r="E88" s="13"/>
      <c r="F88" s="42" t="s">
        <v>173</v>
      </c>
      <c r="G88" s="13"/>
      <c r="H88" s="43">
        <f>'Cash Flow Statement'!C36</f>
        <v>22.3</v>
      </c>
      <c r="I88" s="43">
        <f>'Cash Flow Statement'!D36</f>
        <v>154.5</v>
      </c>
      <c r="J88" s="43">
        <f>'Cash Flow Statement'!E36</f>
        <v>104.6</v>
      </c>
      <c r="K88" s="43">
        <f>'Cash Flow Statement'!F36</f>
        <v>109</v>
      </c>
      <c r="L88" s="43">
        <f>'Cash Flow Statement'!G36</f>
        <v>32</v>
      </c>
      <c r="M88" s="64">
        <v>0</v>
      </c>
      <c r="N88" s="64">
        <v>0</v>
      </c>
      <c r="O88" s="64">
        <v>0</v>
      </c>
      <c r="P88" s="64">
        <v>0</v>
      </c>
      <c r="Q88" s="64">
        <v>0</v>
      </c>
    </row>
    <row r="89" spans="1:17" s="39" customFormat="1" ht="18.5" outlineLevel="1" x14ac:dyDescent="0.45">
      <c r="A89" s="13"/>
      <c r="B89" s="13"/>
      <c r="C89" s="13"/>
      <c r="D89" s="13" t="s">
        <v>226</v>
      </c>
      <c r="E89" s="13"/>
      <c r="F89" s="42" t="s">
        <v>173</v>
      </c>
      <c r="G89" s="13"/>
      <c r="H89" s="43">
        <f>'Cash Flow Statement'!C37++'Cash Flow Statement'!C38+'Cash Flow Statement'!C39</f>
        <v>1662.2</v>
      </c>
      <c r="I89" s="43">
        <f>'Cash Flow Statement'!D37++'Cash Flow Statement'!D38+'Cash Flow Statement'!D39</f>
        <v>-4453.8999999999996</v>
      </c>
      <c r="J89" s="43">
        <f>'Cash Flow Statement'!E37++'Cash Flow Statement'!E38+'Cash Flow Statement'!E39</f>
        <v>-8935.1999999999989</v>
      </c>
      <c r="K89" s="43">
        <f>'Cash Flow Statement'!F37++'Cash Flow Statement'!F38+'Cash Flow Statement'!F39</f>
        <v>-12051.099999999999</v>
      </c>
      <c r="L89" s="43">
        <f>'Cash Flow Statement'!G37++'Cash Flow Statement'!G38+'Cash Flow Statement'!G39</f>
        <v>1954.5</v>
      </c>
      <c r="M89" s="64">
        <f>L54-M54</f>
        <v>0</v>
      </c>
      <c r="N89" s="64">
        <f t="shared" ref="N89:Q89" si="113">M54-N54</f>
        <v>0</v>
      </c>
      <c r="O89" s="64">
        <f t="shared" si="113"/>
        <v>0</v>
      </c>
      <c r="P89" s="64">
        <f t="shared" si="113"/>
        <v>0</v>
      </c>
      <c r="Q89" s="64">
        <f t="shared" si="113"/>
        <v>0</v>
      </c>
    </row>
    <row r="90" spans="1:17" s="39" customFormat="1" ht="18.5" outlineLevel="1" x14ac:dyDescent="0.45">
      <c r="A90" s="13"/>
      <c r="B90" s="13"/>
      <c r="C90" s="13"/>
      <c r="D90" s="1" t="s">
        <v>143</v>
      </c>
      <c r="E90" s="13"/>
      <c r="F90" s="42" t="s">
        <v>173</v>
      </c>
      <c r="G90" s="13"/>
      <c r="H90" s="43">
        <f>'Cash Flow Statement'!C40</f>
        <v>1.2</v>
      </c>
      <c r="I90" s="43">
        <f>'Cash Flow Statement'!D40</f>
        <v>1.1000000000000001</v>
      </c>
      <c r="J90" s="43">
        <f>'Cash Flow Statement'!E40</f>
        <v>0.2</v>
      </c>
      <c r="K90" s="43">
        <f>'Cash Flow Statement'!F40</f>
        <v>1.9</v>
      </c>
      <c r="L90" s="43">
        <f>'Cash Flow Statement'!G40</f>
        <v>1.9</v>
      </c>
      <c r="M90" s="64"/>
      <c r="N90" s="64"/>
      <c r="O90" s="64"/>
      <c r="P90" s="64"/>
      <c r="Q90" s="64"/>
    </row>
    <row r="91" spans="1:17" s="39" customFormat="1" ht="18.5" outlineLevel="1" x14ac:dyDescent="0.45">
      <c r="A91" s="13"/>
      <c r="B91" s="13"/>
      <c r="C91" s="13"/>
      <c r="D91" s="1" t="s">
        <v>144</v>
      </c>
      <c r="E91" s="13"/>
      <c r="F91" s="42" t="s">
        <v>173</v>
      </c>
      <c r="G91" s="13"/>
      <c r="H91" s="43">
        <f>'Cash Flow Statement'!C41</f>
        <v>436.7</v>
      </c>
      <c r="I91" s="43">
        <f>'Cash Flow Statement'!D41</f>
        <v>509.2</v>
      </c>
      <c r="J91" s="43">
        <f>'Cash Flow Statement'!E41</f>
        <v>785.7</v>
      </c>
      <c r="K91" s="43">
        <f>'Cash Flow Statement'!F41</f>
        <v>977.7</v>
      </c>
      <c r="L91" s="43">
        <f>'Cash Flow Statement'!G41</f>
        <v>1469.1</v>
      </c>
      <c r="M91" s="64">
        <f t="shared" ref="M91:Q91" si="114">M35</f>
        <v>1832.5738011696046</v>
      </c>
      <c r="N91" s="64">
        <f t="shared" si="114"/>
        <v>1929.7664099666974</v>
      </c>
      <c r="O91" s="64">
        <f t="shared" si="114"/>
        <v>2016.7616386930188</v>
      </c>
      <c r="P91" s="64">
        <f t="shared" si="114"/>
        <v>2094.0411183583628</v>
      </c>
      <c r="Q91" s="64">
        <f t="shared" si="114"/>
        <v>2162.2457312297306</v>
      </c>
    </row>
    <row r="92" spans="1:17" s="39" customFormat="1" ht="18.5" outlineLevel="1" x14ac:dyDescent="0.45">
      <c r="A92" s="13"/>
      <c r="B92" s="13"/>
      <c r="C92" s="13"/>
      <c r="D92" s="1" t="s">
        <v>164</v>
      </c>
      <c r="E92" s="13"/>
      <c r="F92" s="42" t="s">
        <v>173</v>
      </c>
      <c r="G92" s="13"/>
      <c r="H92" s="43">
        <f>'Cash Flow Statement'!C42</f>
        <v>5.3</v>
      </c>
      <c r="I92" s="43">
        <f>'Cash Flow Statement'!D42</f>
        <v>6.5</v>
      </c>
      <c r="J92" s="43">
        <f>'Cash Flow Statement'!E42</f>
        <v>8.4</v>
      </c>
      <c r="K92" s="43">
        <f>'Cash Flow Statement'!F42</f>
        <v>0</v>
      </c>
      <c r="L92" s="43">
        <f>'Cash Flow Statement'!G42</f>
        <v>0</v>
      </c>
      <c r="M92" s="64"/>
      <c r="N92" s="64"/>
      <c r="O92" s="64"/>
      <c r="P92" s="64"/>
      <c r="Q92" s="64"/>
    </row>
    <row r="93" spans="1:17" s="39" customFormat="1" ht="18.5" outlineLevel="1" x14ac:dyDescent="0.45">
      <c r="A93" s="13"/>
      <c r="B93" s="13"/>
      <c r="C93" s="13"/>
      <c r="D93" s="60" t="s">
        <v>227</v>
      </c>
      <c r="E93" s="60"/>
      <c r="F93" s="61" t="s">
        <v>173</v>
      </c>
      <c r="G93" s="60"/>
      <c r="H93" s="62">
        <f>SUM(H87:H92)</f>
        <v>-3163.9000000000005</v>
      </c>
      <c r="I93" s="62">
        <f t="shared" ref="I93:L93" si="115">SUM(I87:I92)</f>
        <v>-7413.4999999999991</v>
      </c>
      <c r="J93" s="62">
        <f t="shared" si="115"/>
        <v>-9985.3999999999978</v>
      </c>
      <c r="K93" s="62">
        <f t="shared" si="115"/>
        <v>-14351.299999999997</v>
      </c>
      <c r="L93" s="62">
        <f t="shared" si="115"/>
        <v>1128.4000000000001</v>
      </c>
      <c r="M93" s="62">
        <f t="shared" ref="M93" si="116">SUM(M87:M92)</f>
        <v>377.37062777689243</v>
      </c>
      <c r="N93" s="62">
        <f t="shared" ref="N93" si="117">SUM(N87:N92)</f>
        <v>735.70815453979617</v>
      </c>
      <c r="O93" s="62">
        <f t="shared" ref="O93" si="118">SUM(O87:O92)</f>
        <v>1037.4435762403191</v>
      </c>
      <c r="P93" s="62">
        <f t="shared" ref="P93" si="119">SUM(P87:P92)</f>
        <v>1291.2878802772589</v>
      </c>
      <c r="Q93" s="62">
        <f t="shared" ref="Q93" si="120">SUM(Q87:Q92)</f>
        <v>1504.5578686692381</v>
      </c>
    </row>
    <row r="94" spans="1:17" s="39" customFormat="1" ht="18.5" outlineLevel="1" x14ac:dyDescent="0.45">
      <c r="A94" s="13"/>
      <c r="B94" s="13"/>
      <c r="C94" s="13"/>
      <c r="D94" s="13"/>
      <c r="E94" s="13"/>
      <c r="F94" s="13"/>
      <c r="G94" s="13"/>
      <c r="H94" s="43"/>
      <c r="I94" s="43"/>
      <c r="J94" s="43"/>
      <c r="K94" s="43"/>
      <c r="L94" s="43"/>
      <c r="M94" s="64"/>
      <c r="N94" s="64"/>
      <c r="O94" s="64"/>
      <c r="P94" s="64"/>
      <c r="Q94" s="64"/>
    </row>
    <row r="95" spans="1:17" s="39" customFormat="1" ht="18.5" outlineLevel="1" x14ac:dyDescent="0.45">
      <c r="A95" s="13"/>
      <c r="B95" s="13"/>
      <c r="C95" s="13" t="s">
        <v>228</v>
      </c>
      <c r="D95" s="13"/>
      <c r="E95" s="13"/>
      <c r="F95" s="13"/>
      <c r="G95" s="13"/>
      <c r="H95" s="43"/>
      <c r="I95" s="43"/>
      <c r="J95" s="43"/>
      <c r="K95" s="43"/>
      <c r="L95" s="43"/>
      <c r="M95" s="64"/>
      <c r="N95" s="64"/>
      <c r="O95" s="64"/>
      <c r="P95" s="64"/>
      <c r="Q95" s="64"/>
    </row>
    <row r="96" spans="1:17" s="39" customFormat="1" ht="18.5" outlineLevel="1" x14ac:dyDescent="0.45">
      <c r="A96" s="13"/>
      <c r="B96" s="13"/>
      <c r="C96" s="13"/>
      <c r="D96" s="13" t="s">
        <v>229</v>
      </c>
      <c r="E96" s="13"/>
      <c r="F96" s="42" t="s">
        <v>173</v>
      </c>
      <c r="G96" s="13"/>
      <c r="H96" s="43">
        <f>'Cash Flow Statement'!C45+'Cash Flow Statement'!C46+'Cash Flow Statement'!C49</f>
        <v>-1057.3</v>
      </c>
      <c r="I96" s="43">
        <f>'Cash Flow Statement'!D45+'Cash Flow Statement'!D46+'Cash Flow Statement'!D49</f>
        <v>5837.7</v>
      </c>
      <c r="J96" s="43">
        <f>'Cash Flow Statement'!E45+'Cash Flow Statement'!E46+'Cash Flow Statement'!E49</f>
        <v>1166.5000000000002</v>
      </c>
      <c r="K96" s="43">
        <f>'Cash Flow Statement'!F45+'Cash Flow Statement'!F46+'Cash Flow Statement'!F49</f>
        <v>8416.1</v>
      </c>
      <c r="L96" s="43">
        <f>'Cash Flow Statement'!G45+'Cash Flow Statement'!G46+'Cash Flow Statement'!G49</f>
        <v>-13023.199999999999</v>
      </c>
      <c r="M96" s="64">
        <f>M125</f>
        <v>0</v>
      </c>
      <c r="N96" s="64">
        <f t="shared" ref="N96:Q96" si="121">N125</f>
        <v>0</v>
      </c>
      <c r="O96" s="64">
        <f t="shared" si="121"/>
        <v>0</v>
      </c>
      <c r="P96" s="64">
        <f t="shared" si="121"/>
        <v>0</v>
      </c>
      <c r="Q96" s="64">
        <f t="shared" si="121"/>
        <v>0</v>
      </c>
    </row>
    <row r="97" spans="1:17" s="39" customFormat="1" ht="18.5" outlineLevel="1" x14ac:dyDescent="0.45">
      <c r="A97" s="13"/>
      <c r="B97" s="13"/>
      <c r="C97" s="13"/>
      <c r="D97" s="13" t="s">
        <v>230</v>
      </c>
      <c r="E97" s="13"/>
      <c r="F97" s="42" t="s">
        <v>173</v>
      </c>
      <c r="G97" s="13"/>
      <c r="H97" s="43">
        <f>'Cash Flow Statement'!C47</f>
        <v>0</v>
      </c>
      <c r="I97" s="43">
        <f>'Cash Flow Statement'!D47</f>
        <v>0</v>
      </c>
      <c r="J97" s="43">
        <f>'Cash Flow Statement'!E47</f>
        <v>0</v>
      </c>
      <c r="K97" s="43">
        <f>'Cash Flow Statement'!F47</f>
        <v>0</v>
      </c>
      <c r="L97" s="43">
        <f>'Cash Flow Statement'!G47</f>
        <v>1614.8</v>
      </c>
      <c r="M97" s="64">
        <v>0</v>
      </c>
      <c r="N97" s="64">
        <v>0</v>
      </c>
      <c r="O97" s="64">
        <v>0</v>
      </c>
      <c r="P97" s="64">
        <v>0</v>
      </c>
      <c r="Q97" s="64">
        <v>0</v>
      </c>
    </row>
    <row r="98" spans="1:17" s="39" customFormat="1" ht="18.5" outlineLevel="1" x14ac:dyDescent="0.45">
      <c r="A98" s="13"/>
      <c r="B98" s="13"/>
      <c r="C98" s="13"/>
      <c r="D98" s="13" t="s">
        <v>231</v>
      </c>
      <c r="E98" s="13"/>
      <c r="F98" s="42" t="s">
        <v>173</v>
      </c>
      <c r="G98" s="13"/>
      <c r="H98" s="43">
        <f>'Cash Flow Statement'!C48</f>
        <v>-2185.8000000000002</v>
      </c>
      <c r="I98" s="43">
        <f>'Cash Flow Statement'!D48</f>
        <v>-4395.6000000000004</v>
      </c>
      <c r="J98" s="43">
        <f>'Cash Flow Statement'!E48</f>
        <v>-3347.8</v>
      </c>
      <c r="K98" s="43">
        <f>'Cash Flow Statement'!F48</f>
        <v>-4219.1000000000004</v>
      </c>
      <c r="L98" s="43">
        <f>'Cash Flow Statement'!G48</f>
        <v>-5295.2</v>
      </c>
      <c r="M98" s="64">
        <f>-M38*M16</f>
        <v>-5714.1217263856506</v>
      </c>
      <c r="N98" s="64">
        <f t="shared" ref="N98:Q98" si="122">-N38*N16</f>
        <v>-6100.9088369424817</v>
      </c>
      <c r="O98" s="64">
        <f t="shared" si="122"/>
        <v>-6454.7566041384798</v>
      </c>
      <c r="P98" s="64">
        <f t="shared" si="122"/>
        <v>-6775.6577596761826</v>
      </c>
      <c r="Q98" s="64">
        <f t="shared" si="122"/>
        <v>-7064.5993615468196</v>
      </c>
    </row>
    <row r="99" spans="1:17" s="39" customFormat="1" ht="18.5" outlineLevel="1" x14ac:dyDescent="0.45">
      <c r="A99" s="13"/>
      <c r="B99" s="13"/>
      <c r="C99" s="13"/>
      <c r="D99" s="13" t="s">
        <v>232</v>
      </c>
      <c r="E99" s="13"/>
      <c r="F99" s="42" t="s">
        <v>173</v>
      </c>
      <c r="G99" s="13"/>
      <c r="H99" s="43">
        <f>'Cash Flow Statement'!C50</f>
        <v>-546.29999999999995</v>
      </c>
      <c r="I99" s="43">
        <f>'Cash Flow Statement'!D50</f>
        <v>-650.6</v>
      </c>
      <c r="J99" s="43">
        <f>'Cash Flow Statement'!E50</f>
        <v>-536.20000000000005</v>
      </c>
      <c r="K99" s="43">
        <f>'Cash Flow Statement'!F50</f>
        <v>-401.3</v>
      </c>
      <c r="L99" s="43">
        <f>'Cash Flow Statement'!G50</f>
        <v>-904.6</v>
      </c>
      <c r="M99" s="64">
        <f t="shared" ref="M99:Q99" si="123">M127</f>
        <v>-617.96105116706747</v>
      </c>
      <c r="N99" s="64">
        <f t="shared" si="123"/>
        <v>-617.96105116706747</v>
      </c>
      <c r="O99" s="64">
        <f t="shared" si="123"/>
        <v>-617.96105116706747</v>
      </c>
      <c r="P99" s="64">
        <f t="shared" si="123"/>
        <v>-617.96105116706747</v>
      </c>
      <c r="Q99" s="64">
        <f t="shared" si="123"/>
        <v>-617.96105116706747</v>
      </c>
    </row>
    <row r="100" spans="1:17" s="39" customFormat="1" ht="18.5" outlineLevel="1" x14ac:dyDescent="0.45">
      <c r="A100" s="13"/>
      <c r="B100" s="13"/>
      <c r="C100" s="13"/>
      <c r="D100" s="60" t="s">
        <v>233</v>
      </c>
      <c r="E100" s="60"/>
      <c r="F100" s="61" t="s">
        <v>173</v>
      </c>
      <c r="G100" s="60"/>
      <c r="H100" s="62">
        <f>SUM(H96:H99)</f>
        <v>-3789.4000000000005</v>
      </c>
      <c r="I100" s="62">
        <f t="shared" ref="I100:L100" si="124">SUM(I96:I99)</f>
        <v>791.49999999999943</v>
      </c>
      <c r="J100" s="62">
        <f t="shared" si="124"/>
        <v>-2717.5</v>
      </c>
      <c r="K100" s="62">
        <f t="shared" si="124"/>
        <v>3795.7</v>
      </c>
      <c r="L100" s="62">
        <f t="shared" si="124"/>
        <v>-17608.199999999997</v>
      </c>
      <c r="M100" s="62">
        <f t="shared" ref="M100" si="125">SUM(M96:M99)</f>
        <v>-6332.0827775527177</v>
      </c>
      <c r="N100" s="62">
        <f t="shared" ref="N100" si="126">SUM(N96:N99)</f>
        <v>-6718.8698881095488</v>
      </c>
      <c r="O100" s="62">
        <f t="shared" ref="O100" si="127">SUM(O96:O99)</f>
        <v>-7072.7176553055469</v>
      </c>
      <c r="P100" s="62">
        <f t="shared" ref="P100" si="128">SUM(P96:P99)</f>
        <v>-7393.6188108432498</v>
      </c>
      <c r="Q100" s="62">
        <f t="shared" ref="Q100" si="129">SUM(Q96:Q99)</f>
        <v>-7682.5604127138868</v>
      </c>
    </row>
    <row r="101" spans="1:17" s="39" customFormat="1" ht="18.5" outlineLevel="1" x14ac:dyDescent="0.45">
      <c r="A101" s="13"/>
      <c r="B101" s="13"/>
      <c r="C101" s="13"/>
      <c r="D101" s="13"/>
      <c r="E101" s="13"/>
      <c r="F101" s="13"/>
      <c r="G101" s="13"/>
      <c r="H101" s="43"/>
      <c r="I101" s="43"/>
      <c r="J101" s="43"/>
      <c r="K101" s="43"/>
      <c r="L101" s="43"/>
      <c r="M101" s="64"/>
      <c r="N101" s="64"/>
      <c r="O101" s="64"/>
      <c r="P101" s="64"/>
      <c r="Q101" s="64"/>
    </row>
    <row r="102" spans="1:17" s="39" customFormat="1" ht="18.5" outlineLevel="1" x14ac:dyDescent="0.45">
      <c r="A102" s="13"/>
      <c r="B102" s="13"/>
      <c r="D102" s="13" t="s">
        <v>234</v>
      </c>
      <c r="E102" s="13"/>
      <c r="F102" s="42" t="s">
        <v>173</v>
      </c>
      <c r="G102" s="13"/>
      <c r="H102" s="64">
        <f>SUM(H84,H93,H100)</f>
        <v>843.199999999998</v>
      </c>
      <c r="I102" s="64">
        <f t="shared" ref="I102:Q102" si="130">SUM(I84,I93,I100)</f>
        <v>-771.20000000000039</v>
      </c>
      <c r="J102" s="64">
        <f t="shared" si="130"/>
        <v>-53.899999999997817</v>
      </c>
      <c r="K102" s="64">
        <f t="shared" si="130"/>
        <v>554.60000000000127</v>
      </c>
      <c r="L102" s="64">
        <f t="shared" si="130"/>
        <v>345.20000000000437</v>
      </c>
      <c r="M102" s="64">
        <f t="shared" si="130"/>
        <v>10978.536975077401</v>
      </c>
      <c r="N102" s="64">
        <f t="shared" si="130"/>
        <v>11743.024902629757</v>
      </c>
      <c r="O102" s="64">
        <f t="shared" si="130"/>
        <v>12749.020750463897</v>
      </c>
      <c r="P102" s="64">
        <f t="shared" si="130"/>
        <v>13632.046283026677</v>
      </c>
      <c r="Q102" s="64">
        <f t="shared" si="130"/>
        <v>14402.241270497976</v>
      </c>
    </row>
    <row r="103" spans="1:17" s="39" customFormat="1" ht="18.5" outlineLevel="1" x14ac:dyDescent="0.45">
      <c r="A103" s="13"/>
      <c r="B103" s="13"/>
      <c r="C103" s="13"/>
      <c r="D103" s="13" t="s">
        <v>235</v>
      </c>
      <c r="E103" s="13"/>
      <c r="F103" s="42" t="s">
        <v>173</v>
      </c>
      <c r="G103" s="13"/>
      <c r="H103" s="43">
        <f>SUM('Cash Flow Statement'!C53:C54)</f>
        <v>1647.3</v>
      </c>
      <c r="I103" s="43">
        <f>SUM('Cash Flow Statement'!D53:D54)</f>
        <v>2530.6</v>
      </c>
      <c r="J103" s="43">
        <f>SUM('Cash Flow Statement'!E53:E54)</f>
        <v>1796.1000000000001</v>
      </c>
      <c r="K103" s="43">
        <f>SUM('Cash Flow Statement'!F53:F54)</f>
        <v>1767.2</v>
      </c>
      <c r="L103" s="43">
        <f>SUM('Cash Flow Statement'!G53:G54)</f>
        <v>2392.8000000000002</v>
      </c>
      <c r="M103" s="64">
        <f>L104</f>
        <v>2738.0000000000045</v>
      </c>
      <c r="N103" s="64">
        <f t="shared" ref="N103:Q103" si="131">M104</f>
        <v>13716.536975077404</v>
      </c>
      <c r="O103" s="64">
        <f t="shared" si="131"/>
        <v>25459.561877707161</v>
      </c>
      <c r="P103" s="64">
        <f t="shared" si="131"/>
        <v>38208.582628171062</v>
      </c>
      <c r="Q103" s="64">
        <f t="shared" si="131"/>
        <v>51840.628911197738</v>
      </c>
    </row>
    <row r="104" spans="1:17" s="39" customFormat="1" ht="18.5" outlineLevel="1" x14ac:dyDescent="0.45">
      <c r="A104" s="13"/>
      <c r="B104" s="13"/>
      <c r="C104" s="13"/>
      <c r="D104" s="17" t="s">
        <v>236</v>
      </c>
      <c r="E104" s="17"/>
      <c r="F104" s="44" t="s">
        <v>173</v>
      </c>
      <c r="G104" s="17"/>
      <c r="H104" s="62">
        <f>SUM(H102:H103)</f>
        <v>2490.4999999999982</v>
      </c>
      <c r="I104" s="62">
        <f t="shared" ref="I104:L104" si="132">SUM(I102:I103)</f>
        <v>1759.3999999999996</v>
      </c>
      <c r="J104" s="62">
        <f t="shared" si="132"/>
        <v>1742.2000000000023</v>
      </c>
      <c r="K104" s="62">
        <f t="shared" si="132"/>
        <v>2321.8000000000011</v>
      </c>
      <c r="L104" s="62">
        <f t="shared" si="132"/>
        <v>2738.0000000000045</v>
      </c>
      <c r="M104" s="62">
        <f t="shared" ref="M104" si="133">SUM(M102:M103)</f>
        <v>13716.536975077404</v>
      </c>
      <c r="N104" s="62">
        <f t="shared" ref="N104" si="134">SUM(N102:N103)</f>
        <v>25459.561877707161</v>
      </c>
      <c r="O104" s="62">
        <f t="shared" ref="O104" si="135">SUM(O102:O103)</f>
        <v>38208.582628171062</v>
      </c>
      <c r="P104" s="62">
        <f t="shared" ref="P104" si="136">SUM(P102:P103)</f>
        <v>51840.628911197738</v>
      </c>
      <c r="Q104" s="62">
        <f t="shared" ref="Q104" si="137">SUM(Q102:Q103)</f>
        <v>66242.870181695718</v>
      </c>
    </row>
    <row r="105" spans="1:17" s="39" customFormat="1" ht="18.5" outlineLevel="1" x14ac:dyDescent="0.45">
      <c r="A105" s="13"/>
      <c r="B105" s="13"/>
      <c r="C105" s="13"/>
      <c r="D105" s="13"/>
      <c r="E105" s="13"/>
      <c r="F105" s="13"/>
      <c r="G105" s="13"/>
      <c r="H105" s="43"/>
      <c r="I105" s="43"/>
      <c r="J105" s="43"/>
      <c r="K105" s="43"/>
      <c r="L105" s="43"/>
    </row>
    <row r="106" spans="1:17" s="39" customFormat="1" ht="18.5" x14ac:dyDescent="0.45">
      <c r="A106" s="13"/>
      <c r="B106" s="13"/>
      <c r="C106" s="13"/>
      <c r="D106" s="13"/>
      <c r="E106" s="13"/>
      <c r="F106" s="13"/>
      <c r="G106" s="13"/>
      <c r="H106" s="43"/>
      <c r="I106" s="43"/>
      <c r="J106" s="43"/>
      <c r="K106" s="43"/>
      <c r="L106" s="43"/>
    </row>
    <row r="107" spans="1:17" s="39" customFormat="1" ht="18.5" x14ac:dyDescent="0.45">
      <c r="A107" s="13"/>
      <c r="B107" s="13"/>
      <c r="C107" s="13"/>
      <c r="D107" s="13"/>
      <c r="E107" s="13"/>
      <c r="F107" s="13"/>
      <c r="G107" s="13"/>
      <c r="H107" s="43"/>
      <c r="I107" s="43"/>
      <c r="J107" s="43"/>
      <c r="K107" s="43"/>
      <c r="L107" s="43"/>
    </row>
    <row r="108" spans="1:17" s="39" customFormat="1" ht="20.5" x14ac:dyDescent="0.45">
      <c r="A108" s="38" t="s">
        <v>237</v>
      </c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</row>
    <row r="109" spans="1:17" s="39" customFormat="1" ht="18.5" x14ac:dyDescent="0.45">
      <c r="A109" s="13"/>
      <c r="B109" s="13"/>
      <c r="C109" s="13"/>
      <c r="D109" s="13"/>
      <c r="E109" s="13"/>
      <c r="F109" s="13"/>
      <c r="G109" s="13"/>
      <c r="H109" s="43"/>
      <c r="I109" s="43"/>
      <c r="J109" s="43"/>
      <c r="K109" s="43"/>
      <c r="L109" s="43"/>
    </row>
    <row r="110" spans="1:17" s="39" customFormat="1" ht="18.5" x14ac:dyDescent="0.45">
      <c r="A110" s="13"/>
      <c r="B110" s="13"/>
      <c r="C110" s="16" t="s">
        <v>238</v>
      </c>
      <c r="D110" s="13"/>
      <c r="E110" s="13"/>
      <c r="F110" s="13"/>
      <c r="G110" s="13"/>
      <c r="H110" s="43"/>
      <c r="I110" s="43"/>
      <c r="J110" s="43"/>
      <c r="K110" s="43"/>
      <c r="L110" s="43"/>
    </row>
    <row r="111" spans="1:17" s="39" customFormat="1" ht="18.5" x14ac:dyDescent="0.45">
      <c r="A111" s="13"/>
      <c r="B111" s="13"/>
      <c r="C111" s="13"/>
      <c r="D111" s="13" t="s">
        <v>239</v>
      </c>
      <c r="E111" s="13"/>
      <c r="F111" s="42" t="s">
        <v>173</v>
      </c>
      <c r="G111" s="13"/>
      <c r="H111" s="43">
        <f>'Cash Flow Statement'!C25</f>
        <v>-1558.5</v>
      </c>
      <c r="I111" s="43">
        <f>'Cash Flow Statement'!D25</f>
        <v>-2574.4</v>
      </c>
      <c r="J111" s="43">
        <f>'Cash Flow Statement'!E25</f>
        <v>-257.60000000000002</v>
      </c>
      <c r="K111" s="43">
        <f>'Cash Flow Statement'!F25</f>
        <v>-2217.5</v>
      </c>
      <c r="L111" s="43">
        <f>'Cash Flow Statement'!G25</f>
        <v>-1347.1</v>
      </c>
      <c r="M111" s="64">
        <f>L47-M47</f>
        <v>-1098.3401164681854</v>
      </c>
      <c r="N111" s="64">
        <f t="shared" ref="N111:Q111" si="138">M47-N47</f>
        <v>-1189.0772999838555</v>
      </c>
      <c r="O111" s="64">
        <f t="shared" si="138"/>
        <v>-1064.3201470322711</v>
      </c>
      <c r="P111" s="64">
        <f t="shared" si="138"/>
        <v>-945.45538145254977</v>
      </c>
      <c r="Q111" s="64">
        <f t="shared" si="138"/>
        <v>-834.43132068655905</v>
      </c>
    </row>
    <row r="112" spans="1:17" s="39" customFormat="1" ht="18.5" x14ac:dyDescent="0.45">
      <c r="A112" s="13"/>
      <c r="B112" s="13"/>
      <c r="C112" s="13"/>
      <c r="D112" s="13" t="s">
        <v>191</v>
      </c>
      <c r="E112" s="13"/>
      <c r="F112" s="42" t="s">
        <v>173</v>
      </c>
      <c r="G112" s="13"/>
      <c r="H112" s="43">
        <f>'Cash Flow Statement'!C27</f>
        <v>-373</v>
      </c>
      <c r="I112" s="43">
        <f>'Cash Flow Statement'!D27</f>
        <v>-2817.4</v>
      </c>
      <c r="J112" s="43">
        <f>'Cash Flow Statement'!E27</f>
        <v>-4977</v>
      </c>
      <c r="K112" s="43">
        <f>'Cash Flow Statement'!F27</f>
        <v>-6731.4</v>
      </c>
      <c r="L112" s="43">
        <f>'Cash Flow Statement'!G27</f>
        <v>4734.1000000000004</v>
      </c>
      <c r="M112" s="64">
        <f>L48-M48</f>
        <v>-3323.2524221347521</v>
      </c>
      <c r="N112" s="64">
        <f t="shared" ref="N112:Q112" si="139">M48-N48</f>
        <v>-1559.185230598483</v>
      </c>
      <c r="O112" s="64">
        <f t="shared" si="139"/>
        <v>-1395.5966142013349</v>
      </c>
      <c r="P112" s="64">
        <f t="shared" si="139"/>
        <v>-1239.7344285108229</v>
      </c>
      <c r="Q112" s="64">
        <f t="shared" si="139"/>
        <v>-1094.1534172596948</v>
      </c>
    </row>
    <row r="113" spans="1:17" s="39" customFormat="1" ht="18.5" x14ac:dyDescent="0.45">
      <c r="A113" s="13"/>
      <c r="B113" s="13"/>
      <c r="C113" s="13"/>
      <c r="D113" s="13" t="s">
        <v>201</v>
      </c>
      <c r="E113" s="13"/>
      <c r="F113" s="42" t="s">
        <v>173</v>
      </c>
      <c r="G113" s="13"/>
      <c r="H113" s="43">
        <f>'Cash Flow Statement'!C28</f>
        <v>-109.5</v>
      </c>
      <c r="I113" s="43">
        <f>'Cash Flow Statement'!D28</f>
        <v>-37.4</v>
      </c>
      <c r="J113" s="43">
        <f>'Cash Flow Statement'!E28</f>
        <v>2124.1999999999998</v>
      </c>
      <c r="K113" s="43">
        <f>'Cash Flow Statement'!F28</f>
        <v>3344.9</v>
      </c>
      <c r="L113" s="43">
        <f>'Cash Flow Statement'!G28</f>
        <v>145.1</v>
      </c>
      <c r="M113" s="64">
        <f>M60-L60</f>
        <v>2588.3981759608214</v>
      </c>
      <c r="N113" s="64">
        <f t="shared" ref="N113:Q113" si="140">N60-M60</f>
        <v>755.16534216127911</v>
      </c>
      <c r="O113" s="64">
        <f t="shared" si="140"/>
        <v>675.93392625835622</v>
      </c>
      <c r="P113" s="64">
        <f t="shared" si="140"/>
        <v>600.44467810673996</v>
      </c>
      <c r="Q113" s="64">
        <f t="shared" si="140"/>
        <v>529.93494519230444</v>
      </c>
    </row>
    <row r="114" spans="1:17" s="39" customFormat="1" ht="18.5" x14ac:dyDescent="0.45">
      <c r="A114" s="13"/>
      <c r="B114" s="13"/>
      <c r="C114" s="13"/>
      <c r="D114" s="13" t="s">
        <v>240</v>
      </c>
      <c r="E114" s="13"/>
      <c r="F114" s="42" t="s">
        <v>173</v>
      </c>
      <c r="G114" s="13"/>
      <c r="H114" s="43">
        <f>'Cash Flow Statement'!C29+'Cash Flow Statement'!C26</f>
        <v>638.29999999999995</v>
      </c>
      <c r="I114" s="43">
        <f>'Cash Flow Statement'!D29+'Cash Flow Statement'!D26</f>
        <v>-1042.8</v>
      </c>
      <c r="J114" s="43">
        <f>'Cash Flow Statement'!E29+'Cash Flow Statement'!E26</f>
        <v>-301.20000000000005</v>
      </c>
      <c r="K114" s="43">
        <f>'Cash Flow Statement'!F29+'Cash Flow Statement'!F26</f>
        <v>154.40000000000003</v>
      </c>
      <c r="L114" s="43">
        <f>'Cash Flow Statement'!G29+'Cash Flow Statement'!G26</f>
        <v>-264.40000000000003</v>
      </c>
      <c r="M114" s="64">
        <f>L49-M49+M61-L61</f>
        <v>0</v>
      </c>
      <c r="N114" s="64">
        <f t="shared" ref="N114:Q114" si="141">M49-N49+N61-M61</f>
        <v>0</v>
      </c>
      <c r="O114" s="64">
        <f t="shared" si="141"/>
        <v>0</v>
      </c>
      <c r="P114" s="64">
        <f t="shared" si="141"/>
        <v>0</v>
      </c>
      <c r="Q114" s="64">
        <f t="shared" si="141"/>
        <v>0</v>
      </c>
    </row>
    <row r="115" spans="1:17" s="39" customFormat="1" ht="18.5" x14ac:dyDescent="0.45">
      <c r="A115" s="13"/>
      <c r="B115" s="13"/>
      <c r="C115" s="13"/>
      <c r="D115" s="60" t="s">
        <v>241</v>
      </c>
      <c r="E115" s="60"/>
      <c r="F115" s="61" t="s">
        <v>173</v>
      </c>
      <c r="G115" s="60"/>
      <c r="H115" s="62">
        <f>SUM(H111:H114)</f>
        <v>-1402.7</v>
      </c>
      <c r="I115" s="62">
        <f t="shared" ref="I115:L115" si="142">SUM(I111:I114)</f>
        <v>-6472</v>
      </c>
      <c r="J115" s="62">
        <f t="shared" si="142"/>
        <v>-3411.6000000000004</v>
      </c>
      <c r="K115" s="62">
        <f t="shared" si="142"/>
        <v>-5449.6</v>
      </c>
      <c r="L115" s="62">
        <f t="shared" si="142"/>
        <v>3267.7000000000003</v>
      </c>
      <c r="M115" s="62">
        <f t="shared" ref="M115" si="143">SUM(M111:M114)</f>
        <v>-1833.1943626421162</v>
      </c>
      <c r="N115" s="62">
        <f t="shared" ref="N115" si="144">SUM(N111:N114)</f>
        <v>-1993.0971884210594</v>
      </c>
      <c r="O115" s="62">
        <f t="shared" ref="O115" si="145">SUM(O111:O114)</f>
        <v>-1783.9828349752497</v>
      </c>
      <c r="P115" s="62">
        <f t="shared" ref="P115" si="146">SUM(P111:P114)</f>
        <v>-1584.7451318566327</v>
      </c>
      <c r="Q115" s="62">
        <f t="shared" ref="Q115" si="147">SUM(Q111:Q114)</f>
        <v>-1398.6497927539494</v>
      </c>
    </row>
    <row r="116" spans="1:17" s="39" customFormat="1" ht="18.5" x14ac:dyDescent="0.45">
      <c r="A116" s="13"/>
      <c r="B116" s="13"/>
      <c r="C116" s="13"/>
      <c r="D116" s="13"/>
      <c r="E116" s="13"/>
      <c r="F116" s="42"/>
      <c r="G116" s="13"/>
      <c r="H116" s="43"/>
      <c r="I116" s="43"/>
      <c r="J116" s="43"/>
      <c r="K116" s="43"/>
      <c r="L116" s="43"/>
    </row>
    <row r="117" spans="1:17" s="39" customFormat="1" ht="18.5" x14ac:dyDescent="0.45">
      <c r="A117" s="13"/>
      <c r="B117" s="13"/>
      <c r="C117" s="13" t="s">
        <v>242</v>
      </c>
      <c r="D117" s="13"/>
      <c r="E117" s="13"/>
      <c r="G117" s="13"/>
      <c r="H117" s="43"/>
      <c r="I117" s="43"/>
      <c r="J117" s="43"/>
      <c r="K117" s="43"/>
      <c r="L117" s="43"/>
    </row>
    <row r="118" spans="1:17" s="39" customFormat="1" ht="18.5" x14ac:dyDescent="0.45">
      <c r="A118" s="13"/>
      <c r="B118" s="13"/>
      <c r="C118" s="13"/>
      <c r="D118" s="13" t="s">
        <v>245</v>
      </c>
      <c r="E118" s="13"/>
      <c r="F118" s="42" t="s">
        <v>173</v>
      </c>
      <c r="G118" s="13"/>
      <c r="H118" s="64"/>
      <c r="I118" s="64">
        <f>H121</f>
        <v>26428.400000000001</v>
      </c>
      <c r="J118" s="64">
        <f t="shared" ref="J118:Q118" si="148">I121</f>
        <v>28725.300000000003</v>
      </c>
      <c r="K118" s="64">
        <f t="shared" si="148"/>
        <v>27908.699999999997</v>
      </c>
      <c r="L118" s="64">
        <f t="shared" si="148"/>
        <v>28381.200000000001</v>
      </c>
      <c r="M118" s="64">
        <f t="shared" si="148"/>
        <v>25929</v>
      </c>
      <c r="N118" s="64">
        <f t="shared" si="148"/>
        <v>24729.622983859088</v>
      </c>
      <c r="O118" s="64">
        <f t="shared" si="148"/>
        <v>23391.891842564648</v>
      </c>
      <c r="P118" s="64">
        <f t="shared" si="148"/>
        <v>21976.375831933725</v>
      </c>
      <c r="Q118" s="64">
        <f t="shared" si="148"/>
        <v>20529.213843002726</v>
      </c>
    </row>
    <row r="119" spans="1:17" s="39" customFormat="1" ht="18.5" x14ac:dyDescent="0.45">
      <c r="A119" s="13"/>
      <c r="B119" s="13"/>
      <c r="C119" s="13"/>
      <c r="D119" s="13" t="s">
        <v>243</v>
      </c>
      <c r="E119" s="13"/>
      <c r="F119" s="42" t="s">
        <v>173</v>
      </c>
      <c r="G119" s="13"/>
      <c r="H119" s="64"/>
      <c r="I119" s="64">
        <f>I121-I120-I118</f>
        <v>4824.5</v>
      </c>
      <c r="J119" s="64">
        <f t="shared" ref="J119:L119" si="149">J121-J120-J118</f>
        <v>1929.1999999999935</v>
      </c>
      <c r="K119" s="64">
        <f t="shared" si="149"/>
        <v>3512.1000000000022</v>
      </c>
      <c r="L119" s="64">
        <f t="shared" si="149"/>
        <v>652</v>
      </c>
      <c r="M119" s="64">
        <f>(M25-L25)/M20</f>
        <v>1455.2031733927122</v>
      </c>
      <c r="N119" s="64">
        <f t="shared" ref="N119:Q119" si="150">(N25-M25)/N20</f>
        <v>1194.0582554269013</v>
      </c>
      <c r="O119" s="64">
        <f t="shared" si="150"/>
        <v>979.31806245269979</v>
      </c>
      <c r="P119" s="64">
        <f t="shared" si="150"/>
        <v>802.75323808110397</v>
      </c>
      <c r="Q119" s="64">
        <f t="shared" si="150"/>
        <v>657.68786256049248</v>
      </c>
    </row>
    <row r="120" spans="1:17" s="39" customFormat="1" ht="18.5" x14ac:dyDescent="0.45">
      <c r="A120" s="13"/>
      <c r="B120" s="13"/>
      <c r="C120" s="13"/>
      <c r="D120" s="13" t="s">
        <v>244</v>
      </c>
      <c r="E120" s="13"/>
      <c r="F120" s="42" t="s">
        <v>173</v>
      </c>
      <c r="G120" s="13"/>
      <c r="H120" s="64">
        <f>-H81</f>
        <v>-1931.8</v>
      </c>
      <c r="I120" s="64">
        <f t="shared" ref="I120:L120" si="151">-I81</f>
        <v>-2527.6</v>
      </c>
      <c r="J120" s="64">
        <f t="shared" si="151"/>
        <v>-2745.8</v>
      </c>
      <c r="K120" s="64">
        <f t="shared" si="151"/>
        <v>-3039.6</v>
      </c>
      <c r="L120" s="64">
        <f t="shared" si="151"/>
        <v>-3104.2</v>
      </c>
      <c r="M120" s="64">
        <f>-M118*M12</f>
        <v>-2654.5801895336244</v>
      </c>
      <c r="N120" s="64">
        <f t="shared" ref="N120:Q120" si="152">-N118*N12</f>
        <v>-2531.789396721344</v>
      </c>
      <c r="O120" s="64">
        <f t="shared" si="152"/>
        <v>-2394.8340730836244</v>
      </c>
      <c r="P120" s="64">
        <f t="shared" si="152"/>
        <v>-2249.9152270121017</v>
      </c>
      <c r="Q120" s="64">
        <f t="shared" si="152"/>
        <v>-2101.756503310366</v>
      </c>
    </row>
    <row r="121" spans="1:17" s="39" customFormat="1" ht="18.5" x14ac:dyDescent="0.45">
      <c r="A121" s="13"/>
      <c r="B121" s="13"/>
      <c r="C121" s="13"/>
      <c r="D121" s="17" t="s">
        <v>246</v>
      </c>
      <c r="E121" s="17"/>
      <c r="F121" s="61" t="s">
        <v>173</v>
      </c>
      <c r="G121" s="17"/>
      <c r="H121" s="62">
        <f>H52</f>
        <v>26428.400000000001</v>
      </c>
      <c r="I121" s="62">
        <f t="shared" ref="I121:L121" si="153">I52</f>
        <v>28725.300000000003</v>
      </c>
      <c r="J121" s="62">
        <f t="shared" si="153"/>
        <v>27908.699999999997</v>
      </c>
      <c r="K121" s="62">
        <f t="shared" si="153"/>
        <v>28381.200000000001</v>
      </c>
      <c r="L121" s="62">
        <f t="shared" si="153"/>
        <v>25929</v>
      </c>
      <c r="M121" s="62">
        <f>SUM(M118:M120)</f>
        <v>24729.622983859088</v>
      </c>
      <c r="N121" s="62">
        <f t="shared" ref="N121:Q121" si="154">SUM(N118:N120)</f>
        <v>23391.891842564648</v>
      </c>
      <c r="O121" s="62">
        <f t="shared" si="154"/>
        <v>21976.375831933725</v>
      </c>
      <c r="P121" s="62">
        <f t="shared" si="154"/>
        <v>20529.213843002726</v>
      </c>
      <c r="Q121" s="62">
        <f t="shared" si="154"/>
        <v>19085.14520225285</v>
      </c>
    </row>
    <row r="122" spans="1:17" s="39" customFormat="1" ht="18.5" x14ac:dyDescent="0.45">
      <c r="A122" s="13"/>
      <c r="B122" s="13"/>
      <c r="C122" s="13"/>
      <c r="D122" s="13"/>
      <c r="E122" s="13"/>
      <c r="F122" s="13"/>
      <c r="G122" s="13"/>
      <c r="H122" s="43"/>
      <c r="I122" s="43"/>
      <c r="J122" s="43"/>
      <c r="K122" s="43"/>
      <c r="L122" s="43"/>
    </row>
    <row r="123" spans="1:17" s="39" customFormat="1" ht="18.5" x14ac:dyDescent="0.45">
      <c r="A123" s="13"/>
      <c r="B123" s="13"/>
      <c r="C123" s="13" t="s">
        <v>247</v>
      </c>
      <c r="D123" s="13"/>
      <c r="E123" s="13"/>
      <c r="F123" s="13"/>
      <c r="G123" s="13"/>
      <c r="H123" s="43"/>
      <c r="I123" s="43"/>
      <c r="J123" s="43"/>
      <c r="K123" s="43"/>
      <c r="L123" s="43"/>
    </row>
    <row r="124" spans="1:17" s="39" customFormat="1" ht="18.5" x14ac:dyDescent="0.45">
      <c r="A124" s="13"/>
      <c r="B124" s="13"/>
      <c r="C124" s="13"/>
      <c r="D124" s="13" t="s">
        <v>248</v>
      </c>
      <c r="E124" s="13"/>
      <c r="F124" s="42" t="s">
        <v>173</v>
      </c>
      <c r="G124" s="13"/>
      <c r="H124" s="43"/>
      <c r="I124" s="43">
        <f>H126</f>
        <v>9025.7000000000007</v>
      </c>
      <c r="J124" s="43">
        <f t="shared" ref="J124:L124" si="155">I126</f>
        <v>16627.5</v>
      </c>
      <c r="K124" s="43">
        <f t="shared" si="155"/>
        <v>17919.8</v>
      </c>
      <c r="L124" s="43">
        <f t="shared" si="155"/>
        <v>26681.9</v>
      </c>
      <c r="M124" s="64">
        <f>L126</f>
        <v>13966.8</v>
      </c>
      <c r="N124" s="64">
        <f t="shared" ref="N124:Q124" si="156">M126</f>
        <v>13966.8</v>
      </c>
      <c r="O124" s="64">
        <f t="shared" si="156"/>
        <v>13966.8</v>
      </c>
      <c r="P124" s="64">
        <f t="shared" si="156"/>
        <v>13966.8</v>
      </c>
      <c r="Q124" s="64">
        <f t="shared" si="156"/>
        <v>13966.8</v>
      </c>
    </row>
    <row r="125" spans="1:17" s="39" customFormat="1" ht="18.5" x14ac:dyDescent="0.45">
      <c r="A125" s="13"/>
      <c r="B125" s="13"/>
      <c r="C125" s="13"/>
      <c r="D125" s="13" t="s">
        <v>249</v>
      </c>
      <c r="E125" s="13"/>
      <c r="F125" s="42" t="s">
        <v>173</v>
      </c>
      <c r="G125" s="13"/>
      <c r="H125" s="43"/>
      <c r="I125" s="43">
        <f>I126-I124</f>
        <v>7601.7999999999993</v>
      </c>
      <c r="J125" s="43">
        <f t="shared" ref="J125:L125" si="157">J126-J124</f>
        <v>1292.2999999999993</v>
      </c>
      <c r="K125" s="43">
        <f t="shared" si="157"/>
        <v>8762.1000000000022</v>
      </c>
      <c r="L125" s="43">
        <f t="shared" si="157"/>
        <v>-12715.100000000002</v>
      </c>
      <c r="M125" s="64">
        <f>0</f>
        <v>0</v>
      </c>
      <c r="N125" s="64">
        <f>0</f>
        <v>0</v>
      </c>
      <c r="O125" s="64">
        <f>0</f>
        <v>0</v>
      </c>
      <c r="P125" s="64">
        <f>0</f>
        <v>0</v>
      </c>
      <c r="Q125" s="64">
        <f>0</f>
        <v>0</v>
      </c>
    </row>
    <row r="126" spans="1:17" s="39" customFormat="1" ht="18.5" x14ac:dyDescent="0.45">
      <c r="A126" s="13"/>
      <c r="B126" s="13"/>
      <c r="C126" s="13"/>
      <c r="D126" s="13" t="s">
        <v>250</v>
      </c>
      <c r="E126" s="13"/>
      <c r="F126" s="61" t="s">
        <v>173</v>
      </c>
      <c r="G126" s="17"/>
      <c r="H126" s="62">
        <f>H63</f>
        <v>9025.7000000000007</v>
      </c>
      <c r="I126" s="62">
        <f t="shared" ref="I126:L126" si="158">I63</f>
        <v>16627.5</v>
      </c>
      <c r="J126" s="62">
        <f t="shared" si="158"/>
        <v>17919.8</v>
      </c>
      <c r="K126" s="62">
        <f t="shared" si="158"/>
        <v>26681.9</v>
      </c>
      <c r="L126" s="62">
        <f t="shared" si="158"/>
        <v>13966.8</v>
      </c>
      <c r="M126" s="62">
        <f>SUM(M124:M125)</f>
        <v>13966.8</v>
      </c>
      <c r="N126" s="62">
        <f t="shared" ref="N126:Q126" si="159">SUM(N124:N125)</f>
        <v>13966.8</v>
      </c>
      <c r="O126" s="62">
        <f t="shared" si="159"/>
        <v>13966.8</v>
      </c>
      <c r="P126" s="62">
        <f t="shared" si="159"/>
        <v>13966.8</v>
      </c>
      <c r="Q126" s="62">
        <f t="shared" si="159"/>
        <v>13966.8</v>
      </c>
    </row>
    <row r="127" spans="1:17" s="39" customFormat="1" ht="18.5" x14ac:dyDescent="0.45">
      <c r="A127" s="13"/>
      <c r="B127" s="13"/>
      <c r="C127" s="13"/>
      <c r="D127" s="13" t="s">
        <v>251</v>
      </c>
      <c r="E127" s="13"/>
      <c r="F127" s="42" t="s">
        <v>173</v>
      </c>
      <c r="G127" s="13"/>
      <c r="H127" s="43">
        <f>H34</f>
        <v>-546.29999999999995</v>
      </c>
      <c r="I127" s="43">
        <f t="shared" ref="I127:L127" si="160">I34</f>
        <v>-650.6</v>
      </c>
      <c r="J127" s="43">
        <f t="shared" si="160"/>
        <v>-589.20000000000005</v>
      </c>
      <c r="K127" s="43">
        <f t="shared" si="160"/>
        <v>-523.70000000000005</v>
      </c>
      <c r="L127" s="43">
        <f t="shared" si="160"/>
        <v>-1073.5999999999999</v>
      </c>
      <c r="M127" s="64">
        <f>-M126*M13</f>
        <v>-617.96105116706747</v>
      </c>
      <c r="N127" s="64">
        <f t="shared" ref="N127:Q127" si="161">-N126*N13</f>
        <v>-617.96105116706747</v>
      </c>
      <c r="O127" s="64">
        <f t="shared" si="161"/>
        <v>-617.96105116706747</v>
      </c>
      <c r="P127" s="64">
        <f t="shared" si="161"/>
        <v>-617.96105116706747</v>
      </c>
      <c r="Q127" s="64">
        <f t="shared" si="161"/>
        <v>-617.96105116706747</v>
      </c>
    </row>
    <row r="128" spans="1:17" s="39" customFormat="1" ht="18.5" x14ac:dyDescent="0.45">
      <c r="A128" s="13"/>
      <c r="B128" s="13"/>
      <c r="C128" s="13"/>
      <c r="D128" s="13"/>
      <c r="E128" s="13"/>
      <c r="F128" s="13"/>
      <c r="G128" s="13"/>
      <c r="H128" s="43"/>
      <c r="I128" s="43"/>
      <c r="J128" s="43"/>
      <c r="K128" s="43"/>
      <c r="L128" s="43"/>
    </row>
    <row r="129" spans="1:18" s="39" customFormat="1" ht="20.5" x14ac:dyDescent="0.45">
      <c r="A129" s="38" t="s">
        <v>354</v>
      </c>
      <c r="B129" s="38"/>
      <c r="C129" s="38"/>
      <c r="D129" s="38"/>
      <c r="E129" s="38"/>
      <c r="F129" s="38"/>
      <c r="G129" s="38"/>
      <c r="H129" s="38"/>
      <c r="I129" s="38"/>
      <c r="J129" s="38"/>
      <c r="K129" s="38"/>
      <c r="L129" s="38"/>
      <c r="M129" s="38"/>
      <c r="N129" s="38"/>
      <c r="O129" s="38"/>
      <c r="P129" s="38"/>
      <c r="Q129" s="38"/>
    </row>
    <row r="130" spans="1:18" s="39" customFormat="1" ht="18.5" x14ac:dyDescent="0.45">
      <c r="A130" s="13"/>
      <c r="B130" s="13"/>
      <c r="C130" s="13"/>
      <c r="D130" s="13"/>
      <c r="E130" s="13"/>
      <c r="F130" s="13"/>
      <c r="G130" s="13"/>
      <c r="H130" s="43"/>
      <c r="I130" s="43"/>
      <c r="J130" s="43"/>
      <c r="K130" s="43"/>
      <c r="L130" s="43"/>
    </row>
    <row r="131" spans="1:18" s="39" customFormat="1" ht="18.5" x14ac:dyDescent="0.45">
      <c r="A131" s="13"/>
      <c r="B131" s="13"/>
      <c r="C131" s="13"/>
      <c r="D131" s="16" t="s">
        <v>355</v>
      </c>
      <c r="E131" s="13"/>
      <c r="F131" s="13"/>
      <c r="G131" s="13"/>
      <c r="H131" s="46"/>
      <c r="I131" s="46"/>
      <c r="J131" s="46"/>
      <c r="K131" s="46"/>
      <c r="L131" s="46"/>
    </row>
    <row r="132" spans="1:18" s="39" customFormat="1" ht="18.5" x14ac:dyDescent="0.45">
      <c r="A132" s="13"/>
      <c r="B132" s="13"/>
      <c r="C132" s="13"/>
      <c r="D132" s="145" t="s">
        <v>356</v>
      </c>
      <c r="E132" s="170">
        <v>45323</v>
      </c>
      <c r="F132" s="13"/>
      <c r="G132" s="13"/>
      <c r="H132" s="46"/>
      <c r="I132" s="46"/>
      <c r="J132" s="46"/>
      <c r="K132" s="46"/>
      <c r="L132" s="46"/>
    </row>
    <row r="133" spans="1:18" s="39" customFormat="1" ht="18.5" x14ac:dyDescent="0.45">
      <c r="A133" s="13"/>
      <c r="B133" s="13"/>
      <c r="C133" s="13"/>
      <c r="D133" s="13" t="s">
        <v>357</v>
      </c>
      <c r="E133" s="181">
        <v>45382</v>
      </c>
      <c r="F133" s="13"/>
      <c r="G133" s="13"/>
      <c r="H133" s="46"/>
      <c r="I133" s="46"/>
      <c r="J133" s="46"/>
      <c r="K133" s="46"/>
      <c r="L133" s="46"/>
    </row>
    <row r="134" spans="1:18" s="39" customFormat="1" ht="18.5" x14ac:dyDescent="0.45">
      <c r="A134" s="13"/>
      <c r="B134" s="13"/>
      <c r="C134" s="13"/>
      <c r="D134" s="13" t="s">
        <v>331</v>
      </c>
      <c r="E134" s="182">
        <f>WACC!E38</f>
        <v>0.15679999999999999</v>
      </c>
      <c r="F134" s="13"/>
      <c r="G134" s="13"/>
      <c r="H134" s="46"/>
      <c r="I134" s="46"/>
      <c r="J134" s="46"/>
      <c r="K134" s="46"/>
      <c r="L134" s="46"/>
    </row>
    <row r="135" spans="1:18" s="39" customFormat="1" ht="18.5" x14ac:dyDescent="0.45">
      <c r="A135" s="13"/>
      <c r="B135" s="13"/>
      <c r="C135" s="13"/>
      <c r="D135" s="13" t="s">
        <v>370</v>
      </c>
      <c r="E135" s="183">
        <f>'Comp Valuation'!R20</f>
        <v>28.428479382715274</v>
      </c>
      <c r="F135" s="13"/>
      <c r="G135" s="13"/>
      <c r="H135" s="46"/>
      <c r="I135" s="46"/>
      <c r="J135" s="46"/>
      <c r="K135" s="46"/>
      <c r="L135" s="46"/>
    </row>
    <row r="136" spans="1:18" s="39" customFormat="1" ht="18.5" x14ac:dyDescent="0.45">
      <c r="A136" s="13"/>
      <c r="B136" s="13"/>
      <c r="C136" s="13"/>
      <c r="D136" s="13" t="s">
        <v>372</v>
      </c>
      <c r="E136" s="184">
        <v>0.06</v>
      </c>
      <c r="F136" s="13"/>
      <c r="G136" s="13"/>
      <c r="H136" s="46"/>
      <c r="I136" s="46"/>
      <c r="J136" s="46"/>
      <c r="K136" s="46"/>
      <c r="L136" s="46"/>
    </row>
    <row r="137" spans="1:18" s="39" customFormat="1" ht="18.5" x14ac:dyDescent="0.45">
      <c r="A137" s="13"/>
      <c r="B137" s="13"/>
      <c r="C137" s="13"/>
      <c r="D137" s="13" t="s">
        <v>373</v>
      </c>
      <c r="E137" s="182">
        <f>9.7%</f>
        <v>9.6999999999999989E-2</v>
      </c>
      <c r="F137" s="13"/>
      <c r="G137" s="13"/>
      <c r="H137" s="46"/>
      <c r="I137" s="46"/>
      <c r="J137" s="46"/>
      <c r="K137" s="46"/>
      <c r="L137" s="46"/>
    </row>
    <row r="138" spans="1:18" s="39" customFormat="1" ht="18.5" x14ac:dyDescent="0.45">
      <c r="A138" s="13"/>
      <c r="B138" s="13"/>
      <c r="C138" s="13"/>
      <c r="D138" s="13" t="s">
        <v>380</v>
      </c>
      <c r="E138" s="164">
        <f>119.565</f>
        <v>119.565</v>
      </c>
      <c r="F138" s="13"/>
      <c r="G138" s="13"/>
      <c r="H138" s="46"/>
      <c r="I138" s="46"/>
      <c r="J138" s="46"/>
      <c r="K138" s="46"/>
      <c r="L138" s="46"/>
    </row>
    <row r="139" spans="1:18" s="39" customFormat="1" ht="18.5" x14ac:dyDescent="0.45">
      <c r="A139" s="13"/>
      <c r="B139" s="13"/>
      <c r="C139" s="13"/>
      <c r="D139" s="13" t="s">
        <v>383</v>
      </c>
      <c r="E139" s="13">
        <v>5060.3</v>
      </c>
      <c r="F139" s="13"/>
      <c r="G139" s="13"/>
      <c r="H139" s="46"/>
      <c r="I139" s="46"/>
      <c r="J139" s="46"/>
      <c r="K139" s="46"/>
      <c r="L139" s="46"/>
    </row>
    <row r="140" spans="1:18" s="39" customFormat="1" ht="18.5" x14ac:dyDescent="0.45">
      <c r="A140" s="13"/>
      <c r="B140" s="13"/>
      <c r="C140" s="13"/>
      <c r="D140" s="13"/>
      <c r="E140" s="13"/>
      <c r="F140" s="13"/>
      <c r="G140" s="13"/>
      <c r="H140" s="46"/>
      <c r="I140" s="46"/>
      <c r="J140" s="46"/>
      <c r="K140" s="46"/>
      <c r="L140" s="46"/>
    </row>
    <row r="141" spans="1:18" s="39" customFormat="1" ht="18.5" x14ac:dyDescent="0.45">
      <c r="A141" s="13"/>
      <c r="B141" s="13"/>
      <c r="C141" s="13"/>
      <c r="D141" s="13"/>
      <c r="E141" s="13"/>
      <c r="F141" s="13"/>
      <c r="G141" s="13"/>
      <c r="H141" s="46"/>
      <c r="I141" s="46"/>
      <c r="J141" s="46"/>
      <c r="K141" s="46"/>
      <c r="L141" s="46"/>
    </row>
    <row r="142" spans="1:18" s="39" customFormat="1" ht="18.5" x14ac:dyDescent="0.45">
      <c r="A142" s="13"/>
      <c r="B142" s="13"/>
      <c r="C142" s="13"/>
      <c r="D142" s="16" t="s">
        <v>358</v>
      </c>
      <c r="E142" s="13"/>
      <c r="F142" s="13"/>
      <c r="G142" s="13"/>
      <c r="H142" s="101" t="s">
        <v>359</v>
      </c>
      <c r="I142" s="101">
        <f>YEAR(E133)</f>
        <v>2024</v>
      </c>
      <c r="J142" s="101">
        <f>I142+1</f>
        <v>2025</v>
      </c>
      <c r="K142" s="101">
        <f t="shared" ref="K142:L142" si="162">J142+1</f>
        <v>2026</v>
      </c>
      <c r="L142" s="101">
        <f t="shared" si="162"/>
        <v>2027</v>
      </c>
      <c r="M142" s="46">
        <f>L142+1</f>
        <v>2028</v>
      </c>
      <c r="N142" s="39" t="s">
        <v>360</v>
      </c>
      <c r="P142" s="175" t="s">
        <v>368</v>
      </c>
      <c r="Q142" s="173"/>
      <c r="R142" s="173"/>
    </row>
    <row r="143" spans="1:18" s="39" customFormat="1" ht="18.5" x14ac:dyDescent="0.45">
      <c r="A143" s="13"/>
      <c r="B143" s="13"/>
      <c r="C143" s="13"/>
      <c r="D143" s="13" t="s">
        <v>320</v>
      </c>
      <c r="E143" s="13"/>
      <c r="F143" s="13"/>
      <c r="G143" s="13"/>
      <c r="H143" s="158">
        <v>45323</v>
      </c>
      <c r="I143" s="176">
        <f>DATE(YEAR($H$143)+I144,MONTH($E$133),DAY($E$133))</f>
        <v>45382</v>
      </c>
      <c r="J143" s="176">
        <f t="shared" ref="J143:M143" si="163">DATE(YEAR($H$143)+J144,MONTH($E$133),DAY($E$133))</f>
        <v>45747</v>
      </c>
      <c r="K143" s="176">
        <f t="shared" si="163"/>
        <v>46112</v>
      </c>
      <c r="L143" s="176">
        <f t="shared" si="163"/>
        <v>46477</v>
      </c>
      <c r="M143" s="176">
        <f t="shared" si="163"/>
        <v>46843</v>
      </c>
      <c r="N143" s="176">
        <f>M143</f>
        <v>46843</v>
      </c>
      <c r="P143" s="39" t="s">
        <v>369</v>
      </c>
      <c r="R143" s="45">
        <f>(M147+M150)*E135</f>
        <v>726666.61649768229</v>
      </c>
    </row>
    <row r="144" spans="1:18" s="39" customFormat="1" ht="18.5" x14ac:dyDescent="0.45">
      <c r="A144" s="13"/>
      <c r="B144" s="13"/>
      <c r="C144" s="13"/>
      <c r="D144" s="13" t="s">
        <v>361</v>
      </c>
      <c r="E144" s="13"/>
      <c r="F144" s="13"/>
      <c r="G144" s="13"/>
      <c r="H144" s="46"/>
      <c r="I144" s="174">
        <v>0</v>
      </c>
      <c r="J144" s="174">
        <v>1</v>
      </c>
      <c r="K144" s="174">
        <v>2</v>
      </c>
      <c r="L144" s="174">
        <v>3</v>
      </c>
      <c r="M144" s="156">
        <v>4</v>
      </c>
      <c r="P144" s="156" t="s">
        <v>371</v>
      </c>
      <c r="R144" s="165">
        <f>M153*(1+E136)/(E137-E136)</f>
        <v>568000.67025621701</v>
      </c>
    </row>
    <row r="145" spans="1:18" s="39" customFormat="1" ht="18.5" x14ac:dyDescent="0.45">
      <c r="A145" s="13"/>
      <c r="B145" s="13"/>
      <c r="C145" s="13"/>
      <c r="D145" s="13" t="s">
        <v>362</v>
      </c>
      <c r="E145" s="13"/>
      <c r="F145" s="13"/>
      <c r="G145" s="13"/>
      <c r="H145" s="46"/>
      <c r="I145" s="164">
        <f>YEARFRAC(H143,I143)</f>
        <v>0.16666666666666666</v>
      </c>
      <c r="J145" s="164">
        <f t="shared" ref="J145:M145" si="164">YEARFRAC(I143,J143)</f>
        <v>1</v>
      </c>
      <c r="K145" s="164">
        <f t="shared" si="164"/>
        <v>1</v>
      </c>
      <c r="L145" s="164">
        <f t="shared" si="164"/>
        <v>1</v>
      </c>
      <c r="M145" s="164">
        <f t="shared" si="164"/>
        <v>1</v>
      </c>
      <c r="N145" s="159">
        <v>1</v>
      </c>
      <c r="P145" s="177" t="s">
        <v>309</v>
      </c>
      <c r="Q145" s="180"/>
      <c r="R145" s="40">
        <f>AVERAGE(R143:R144)</f>
        <v>647333.64337694971</v>
      </c>
    </row>
    <row r="146" spans="1:18" s="39" customFormat="1" ht="18.5" x14ac:dyDescent="0.45">
      <c r="A146" s="13"/>
      <c r="B146" s="13"/>
      <c r="C146" s="13"/>
      <c r="D146" s="13"/>
      <c r="E146" s="13"/>
      <c r="F146" s="13"/>
      <c r="G146" s="13"/>
      <c r="H146" s="46"/>
      <c r="I146" s="46"/>
      <c r="J146" s="46"/>
      <c r="K146" s="46"/>
      <c r="L146" s="46"/>
    </row>
    <row r="147" spans="1:18" s="39" customFormat="1" ht="18.5" x14ac:dyDescent="0.45">
      <c r="A147" s="13"/>
      <c r="B147" s="13"/>
      <c r="C147" s="13"/>
      <c r="D147" s="13" t="s">
        <v>180</v>
      </c>
      <c r="E147" s="13"/>
      <c r="F147" s="13"/>
      <c r="G147" s="13"/>
      <c r="H147" s="46"/>
      <c r="I147" s="46">
        <f t="shared" ref="I147:M147" si="165">M33</f>
        <v>19009.387725153945</v>
      </c>
      <c r="J147" s="46">
        <f t="shared" si="165"/>
        <v>20281.151376347771</v>
      </c>
      <c r="K147" s="46">
        <f t="shared" si="165"/>
        <v>21446.530135186367</v>
      </c>
      <c r="L147" s="46">
        <f t="shared" si="165"/>
        <v>22505.016645962711</v>
      </c>
      <c r="M147" s="46">
        <f t="shared" si="165"/>
        <v>23459.463522390375</v>
      </c>
    </row>
    <row r="148" spans="1:18" s="39" customFormat="1" ht="18.5" x14ac:dyDescent="0.45">
      <c r="A148" s="13"/>
      <c r="B148" s="13"/>
      <c r="C148" s="13"/>
      <c r="D148" s="13" t="s">
        <v>363</v>
      </c>
      <c r="E148" s="13"/>
      <c r="F148" s="13"/>
      <c r="G148" s="13"/>
      <c r="H148" s="46"/>
      <c r="I148" s="46">
        <f t="shared" ref="I148:M148" si="166">-I147*$E$134</f>
        <v>-2980.6719953041384</v>
      </c>
      <c r="J148" s="46">
        <f t="shared" si="166"/>
        <v>-3180.0845358113302</v>
      </c>
      <c r="K148" s="46">
        <f t="shared" si="166"/>
        <v>-3362.8159251972224</v>
      </c>
      <c r="L148" s="46">
        <f t="shared" si="166"/>
        <v>-3528.7866100869528</v>
      </c>
      <c r="M148" s="46">
        <f t="shared" si="166"/>
        <v>-3678.4438803108105</v>
      </c>
    </row>
    <row r="149" spans="1:18" s="39" customFormat="1" ht="18.5" x14ac:dyDescent="0.45">
      <c r="A149" s="13"/>
      <c r="B149" s="13"/>
      <c r="C149" s="13"/>
      <c r="D149" s="145" t="s">
        <v>364</v>
      </c>
      <c r="E149" s="145"/>
      <c r="F149" s="145"/>
      <c r="G149" s="145"/>
      <c r="H149" s="178"/>
      <c r="I149" s="178">
        <f>SUM(I147:I148)</f>
        <v>16028.715729849806</v>
      </c>
      <c r="J149" s="178">
        <f t="shared" ref="J149:M149" si="167">SUM(J147:J148)</f>
        <v>17101.066840536441</v>
      </c>
      <c r="K149" s="178">
        <f t="shared" si="167"/>
        <v>18083.714209989146</v>
      </c>
      <c r="L149" s="178">
        <f t="shared" si="167"/>
        <v>18976.230035875757</v>
      </c>
      <c r="M149" s="178">
        <f t="shared" si="167"/>
        <v>19781.019642079566</v>
      </c>
    </row>
    <row r="150" spans="1:18" s="39" customFormat="1" ht="18.5" x14ac:dyDescent="0.45">
      <c r="A150" s="13"/>
      <c r="B150" s="13"/>
      <c r="C150" s="13"/>
      <c r="D150" s="13" t="s">
        <v>219</v>
      </c>
      <c r="E150" s="13"/>
      <c r="F150" s="13"/>
      <c r="G150" s="13"/>
      <c r="H150" s="46"/>
      <c r="I150" s="46">
        <f t="shared" ref="I150:M150" si="168">M81</f>
        <v>2654.5801895336244</v>
      </c>
      <c r="J150" s="46">
        <f t="shared" si="168"/>
        <v>2531.789396721344</v>
      </c>
      <c r="K150" s="46">
        <f t="shared" si="168"/>
        <v>2394.8340730836244</v>
      </c>
      <c r="L150" s="46">
        <f t="shared" si="168"/>
        <v>2249.9152270121017</v>
      </c>
      <c r="M150" s="46">
        <f t="shared" si="168"/>
        <v>2101.756503310366</v>
      </c>
    </row>
    <row r="151" spans="1:18" s="39" customFormat="1" ht="18.5" x14ac:dyDescent="0.45">
      <c r="A151" s="13"/>
      <c r="B151" s="13"/>
      <c r="C151" s="13"/>
      <c r="D151" s="13" t="s">
        <v>365</v>
      </c>
      <c r="E151" s="13"/>
      <c r="F151" s="13"/>
      <c r="G151" s="13"/>
      <c r="H151" s="46"/>
      <c r="I151" s="46">
        <f t="shared" ref="I151:M151" si="169">-M119</f>
        <v>-1455.2031733927122</v>
      </c>
      <c r="J151" s="46">
        <f t="shared" si="169"/>
        <v>-1194.0582554269013</v>
      </c>
      <c r="K151" s="46">
        <f t="shared" si="169"/>
        <v>-979.31806245269979</v>
      </c>
      <c r="L151" s="46">
        <f t="shared" si="169"/>
        <v>-802.75323808110397</v>
      </c>
      <c r="M151" s="46">
        <f t="shared" si="169"/>
        <v>-657.68786256049248</v>
      </c>
    </row>
    <row r="152" spans="1:18" s="39" customFormat="1" ht="18.5" x14ac:dyDescent="0.45">
      <c r="A152" s="13"/>
      <c r="B152" s="13"/>
      <c r="C152" s="13"/>
      <c r="D152" s="13" t="s">
        <v>366</v>
      </c>
      <c r="E152" s="13"/>
      <c r="F152" s="13"/>
      <c r="G152" s="13"/>
      <c r="H152" s="46"/>
      <c r="I152" s="46">
        <f t="shared" ref="I152:M152" si="170">M115</f>
        <v>-1833.1943626421162</v>
      </c>
      <c r="J152" s="46">
        <f t="shared" si="170"/>
        <v>-1993.0971884210594</v>
      </c>
      <c r="K152" s="46">
        <f t="shared" si="170"/>
        <v>-1783.9828349752497</v>
      </c>
      <c r="L152" s="46">
        <f t="shared" si="170"/>
        <v>-1584.7451318566327</v>
      </c>
      <c r="M152" s="46">
        <f t="shared" si="170"/>
        <v>-1398.6497927539494</v>
      </c>
    </row>
    <row r="153" spans="1:18" s="39" customFormat="1" ht="18.5" x14ac:dyDescent="0.45">
      <c r="A153" s="13"/>
      <c r="B153" s="13"/>
      <c r="C153" s="13"/>
      <c r="D153" s="17" t="s">
        <v>367</v>
      </c>
      <c r="E153" s="17"/>
      <c r="F153" s="17"/>
      <c r="G153" s="17"/>
      <c r="H153" s="45"/>
      <c r="I153" s="45">
        <f>SUM(I149:I152)</f>
        <v>15394.898383348605</v>
      </c>
      <c r="J153" s="45">
        <f t="shared" ref="J153:M153" si="171">SUM(J149:J152)</f>
        <v>16445.700793409826</v>
      </c>
      <c r="K153" s="45">
        <f t="shared" si="171"/>
        <v>17715.24738564482</v>
      </c>
      <c r="L153" s="45">
        <f t="shared" si="171"/>
        <v>18838.646892950121</v>
      </c>
      <c r="M153" s="45">
        <f t="shared" si="171"/>
        <v>19826.438490075492</v>
      </c>
      <c r="N153" s="40">
        <f>R145</f>
        <v>647333.64337694971</v>
      </c>
    </row>
    <row r="154" spans="1:18" s="39" customFormat="1" ht="18.5" x14ac:dyDescent="0.45">
      <c r="A154" s="13"/>
      <c r="B154" s="13"/>
      <c r="C154" s="13"/>
      <c r="D154" s="13"/>
      <c r="E154" s="13"/>
      <c r="F154" s="13"/>
      <c r="G154" s="13"/>
      <c r="H154" s="46"/>
      <c r="I154" s="46"/>
      <c r="J154" s="46"/>
      <c r="K154" s="46"/>
      <c r="L154" s="46"/>
      <c r="M154" s="13"/>
    </row>
    <row r="155" spans="1:18" s="39" customFormat="1" ht="18.5" x14ac:dyDescent="0.45">
      <c r="A155" s="13"/>
      <c r="B155" s="13"/>
      <c r="C155" s="13"/>
      <c r="D155" s="16" t="s">
        <v>374</v>
      </c>
      <c r="E155" s="16"/>
      <c r="F155" s="16"/>
      <c r="G155" s="16"/>
      <c r="H155" s="101">
        <v>0</v>
      </c>
      <c r="I155" s="101">
        <f>I153*I145</f>
        <v>2565.8163972247676</v>
      </c>
      <c r="J155" s="101">
        <f t="shared" ref="J155:N155" si="172">J153*J145</f>
        <v>16445.700793409826</v>
      </c>
      <c r="K155" s="101">
        <f t="shared" si="172"/>
        <v>17715.24738564482</v>
      </c>
      <c r="L155" s="101">
        <f t="shared" si="172"/>
        <v>18838.646892950121</v>
      </c>
      <c r="M155" s="101">
        <f t="shared" si="172"/>
        <v>19826.438490075492</v>
      </c>
      <c r="N155" s="101">
        <f t="shared" si="172"/>
        <v>647333.64337694971</v>
      </c>
    </row>
    <row r="156" spans="1:18" s="39" customFormat="1" ht="18.5" x14ac:dyDescent="0.45">
      <c r="A156" s="13"/>
      <c r="B156" s="13"/>
      <c r="C156" s="13"/>
      <c r="D156" s="13"/>
      <c r="E156" s="13"/>
      <c r="F156" s="13"/>
      <c r="G156" s="13"/>
      <c r="H156" s="46"/>
      <c r="I156" s="46"/>
      <c r="J156" s="46"/>
      <c r="K156" s="46"/>
      <c r="L156" s="46"/>
      <c r="M156" s="13"/>
    </row>
    <row r="157" spans="1:18" s="39" customFormat="1" ht="18.5" x14ac:dyDescent="0.45">
      <c r="A157" s="13"/>
      <c r="B157" s="13"/>
      <c r="C157" s="13"/>
      <c r="D157" s="13"/>
      <c r="E157" s="13"/>
      <c r="F157" s="13"/>
      <c r="G157" s="13"/>
      <c r="H157" s="46"/>
      <c r="I157" s="46"/>
      <c r="J157" s="46"/>
      <c r="K157" s="46"/>
      <c r="L157" s="46"/>
      <c r="M157" s="13"/>
    </row>
    <row r="158" spans="1:18" s="39" customFormat="1" ht="18.5" x14ac:dyDescent="0.45">
      <c r="A158" s="13"/>
      <c r="B158" s="13"/>
      <c r="C158" s="13"/>
      <c r="D158" s="13"/>
      <c r="E158" s="13"/>
      <c r="F158" s="13"/>
      <c r="G158" s="13"/>
      <c r="H158" s="46"/>
      <c r="I158" s="46"/>
      <c r="J158" s="46"/>
      <c r="K158" s="46"/>
      <c r="L158" s="46"/>
      <c r="M158" s="13"/>
    </row>
    <row r="159" spans="1:18" s="39" customFormat="1" ht="18.5" x14ac:dyDescent="0.45">
      <c r="A159" s="13"/>
      <c r="B159" s="13"/>
      <c r="C159" s="13"/>
      <c r="D159" s="13"/>
      <c r="E159" s="13"/>
      <c r="F159" s="13"/>
      <c r="G159" s="13"/>
      <c r="H159" s="46"/>
      <c r="I159" s="46"/>
      <c r="J159" s="46"/>
      <c r="K159" s="46"/>
      <c r="L159" s="46"/>
    </row>
    <row r="160" spans="1:18" s="39" customFormat="1" ht="18.5" x14ac:dyDescent="0.45">
      <c r="A160" s="13"/>
      <c r="B160" s="13"/>
      <c r="C160" s="13"/>
      <c r="D160" s="167" t="s">
        <v>375</v>
      </c>
      <c r="E160" s="30"/>
      <c r="F160" s="30"/>
      <c r="G160" s="13"/>
      <c r="H160" s="46"/>
      <c r="I160" s="165" t="s">
        <v>382</v>
      </c>
      <c r="J160" s="169"/>
      <c r="K160" s="169"/>
      <c r="L160" s="46"/>
      <c r="M160" s="165" t="s">
        <v>388</v>
      </c>
      <c r="N160" s="169"/>
      <c r="O160" s="169"/>
    </row>
    <row r="161" spans="1:17" s="39" customFormat="1" ht="18.5" x14ac:dyDescent="0.45">
      <c r="A161" s="13"/>
      <c r="B161" s="13"/>
      <c r="C161" s="13"/>
      <c r="D161" s="13" t="s">
        <v>376</v>
      </c>
      <c r="E161" s="13"/>
      <c r="F161" s="101">
        <f>XNPV(E137,H155:N155,H143:N143)</f>
        <v>499583.60752716596</v>
      </c>
      <c r="G161" s="13"/>
      <c r="H161" s="46"/>
      <c r="I161" s="46" t="s">
        <v>299</v>
      </c>
      <c r="J161" s="46"/>
      <c r="K161" s="46">
        <f>E138*E139</f>
        <v>605034.76950000005</v>
      </c>
      <c r="L161" s="46"/>
      <c r="M161" s="46" t="s">
        <v>383</v>
      </c>
      <c r="N161" s="46"/>
      <c r="O161" s="46">
        <f>K167</f>
        <v>5060.3</v>
      </c>
    </row>
    <row r="162" spans="1:17" s="39" customFormat="1" ht="18.5" x14ac:dyDescent="0.45">
      <c r="A162" s="13"/>
      <c r="B162" s="13"/>
      <c r="C162" s="13"/>
      <c r="D162" s="13" t="s">
        <v>377</v>
      </c>
      <c r="E162" s="13"/>
      <c r="F162" s="101">
        <f>L45+L46+L54</f>
        <v>38617.599999999999</v>
      </c>
      <c r="G162" s="13"/>
      <c r="H162" s="46"/>
      <c r="I162" s="13" t="s">
        <v>384</v>
      </c>
      <c r="J162" s="13"/>
      <c r="K162" s="101">
        <f>L126</f>
        <v>13966.8</v>
      </c>
      <c r="L162" s="46"/>
      <c r="M162" s="13" t="s">
        <v>389</v>
      </c>
      <c r="N162" s="13"/>
      <c r="O162" s="101">
        <f>F167</f>
        <v>4351.9199391725506</v>
      </c>
    </row>
    <row r="163" spans="1:17" s="39" customFormat="1" ht="18.5" x14ac:dyDescent="0.45">
      <c r="A163" s="13"/>
      <c r="B163" s="13"/>
      <c r="C163" s="13"/>
      <c r="D163" s="13" t="s">
        <v>378</v>
      </c>
      <c r="E163" s="13"/>
      <c r="F163" s="101">
        <f>-L126</f>
        <v>-13966.8</v>
      </c>
      <c r="G163" s="13"/>
      <c r="H163" s="46"/>
      <c r="I163" s="13" t="s">
        <v>385</v>
      </c>
      <c r="J163" s="46"/>
      <c r="K163" s="46">
        <f>-F164</f>
        <v>3897.1</v>
      </c>
      <c r="L163" s="46"/>
      <c r="M163" s="13" t="s">
        <v>390</v>
      </c>
      <c r="N163" s="46"/>
      <c r="O163" s="166">
        <f>O162/O161-1</f>
        <v>-0.13998775978251277</v>
      </c>
    </row>
    <row r="164" spans="1:17" s="39" customFormat="1" ht="18.5" x14ac:dyDescent="0.45">
      <c r="A164" s="13"/>
      <c r="B164" s="13"/>
      <c r="C164" s="13"/>
      <c r="D164" s="13" t="s">
        <v>379</v>
      </c>
      <c r="E164" s="13"/>
      <c r="F164" s="101">
        <f>-L70</f>
        <v>-3897.1</v>
      </c>
      <c r="G164" s="13"/>
      <c r="H164" s="46"/>
      <c r="I164" s="13" t="s">
        <v>386</v>
      </c>
      <c r="J164" s="46"/>
      <c r="K164" s="46">
        <f>-F162</f>
        <v>-38617.599999999999</v>
      </c>
      <c r="L164" s="46"/>
      <c r="M164" s="130"/>
      <c r="N164" s="139"/>
      <c r="O164" s="139"/>
    </row>
    <row r="165" spans="1:17" s="39" customFormat="1" ht="18.5" x14ac:dyDescent="0.45">
      <c r="A165" s="13"/>
      <c r="B165" s="13"/>
      <c r="C165" s="13"/>
      <c r="D165" s="145" t="s">
        <v>315</v>
      </c>
      <c r="E165" s="145"/>
      <c r="F165" s="178">
        <f>SUM(F161:F164)</f>
        <v>520337.30752716603</v>
      </c>
      <c r="G165" s="13"/>
      <c r="H165" s="46"/>
      <c r="I165" s="178" t="s">
        <v>387</v>
      </c>
      <c r="J165" s="178"/>
      <c r="K165" s="178">
        <f>SUM(K161:K164)</f>
        <v>584281.0695000001</v>
      </c>
      <c r="L165" s="46"/>
      <c r="M165" s="139"/>
      <c r="N165" s="139"/>
      <c r="O165" s="139"/>
    </row>
    <row r="166" spans="1:17" s="39" customFormat="1" ht="18.5" x14ac:dyDescent="0.45">
      <c r="A166" s="13"/>
      <c r="B166" s="13"/>
      <c r="C166" s="13"/>
      <c r="D166" s="13"/>
      <c r="E166" s="13"/>
      <c r="F166" s="13"/>
      <c r="G166" s="13"/>
      <c r="H166" s="46"/>
      <c r="I166" s="46"/>
      <c r="J166" s="46"/>
      <c r="K166" s="46"/>
      <c r="L166" s="46"/>
      <c r="M166" s="139"/>
      <c r="N166" s="139"/>
      <c r="O166" s="139"/>
    </row>
    <row r="167" spans="1:17" s="39" customFormat="1" ht="18.5" x14ac:dyDescent="0.45">
      <c r="A167" s="13"/>
      <c r="B167" s="13"/>
      <c r="C167" s="13"/>
      <c r="D167" s="13" t="s">
        <v>381</v>
      </c>
      <c r="E167" s="13"/>
      <c r="F167" s="172">
        <f>F165/E138</f>
        <v>4351.9199391725506</v>
      </c>
      <c r="G167" s="13"/>
      <c r="H167" s="46"/>
      <c r="I167" s="13" t="s">
        <v>381</v>
      </c>
      <c r="J167" s="46"/>
      <c r="K167" s="179">
        <f>K161/E138</f>
        <v>5060.3</v>
      </c>
      <c r="L167" s="46"/>
      <c r="M167" s="130"/>
      <c r="N167" s="139"/>
      <c r="O167" s="139"/>
    </row>
    <row r="168" spans="1:17" s="39" customFormat="1" ht="18.5" x14ac:dyDescent="0.45">
      <c r="A168" s="13"/>
      <c r="B168" s="13"/>
      <c r="C168" s="13"/>
      <c r="D168" s="13"/>
      <c r="E168" s="13"/>
      <c r="F168" s="13"/>
      <c r="G168" s="13"/>
      <c r="H168" s="46"/>
      <c r="I168" s="46"/>
      <c r="J168" s="46"/>
      <c r="K168" s="46"/>
      <c r="L168" s="46"/>
    </row>
    <row r="169" spans="1:17" s="39" customFormat="1" ht="20.5" x14ac:dyDescent="0.45">
      <c r="A169" s="38" t="s">
        <v>391</v>
      </c>
      <c r="B169" s="38"/>
      <c r="C169" s="38"/>
      <c r="D169" s="38"/>
      <c r="E169" s="38"/>
      <c r="F169" s="38"/>
      <c r="G169" s="38"/>
      <c r="H169" s="38"/>
      <c r="I169" s="38"/>
      <c r="J169" s="38"/>
      <c r="K169" s="38"/>
      <c r="L169" s="38"/>
      <c r="M169" s="38"/>
      <c r="N169" s="38"/>
      <c r="O169" s="38"/>
      <c r="P169" s="38"/>
      <c r="Q169" s="38"/>
    </row>
    <row r="170" spans="1:17" s="39" customFormat="1" ht="18.5" x14ac:dyDescent="0.45">
      <c r="A170" s="13"/>
      <c r="B170" s="13"/>
      <c r="C170" s="13"/>
      <c r="D170" s="13"/>
      <c r="E170" s="13"/>
      <c r="F170" s="13"/>
      <c r="G170" s="13"/>
      <c r="H170" s="46"/>
      <c r="I170" s="46"/>
      <c r="J170" s="46"/>
      <c r="K170" s="46"/>
      <c r="L170" s="46"/>
    </row>
    <row r="171" spans="1:17" s="39" customFormat="1" ht="18.5" x14ac:dyDescent="0.45">
      <c r="A171" s="13"/>
      <c r="B171" s="13"/>
      <c r="C171" s="13"/>
      <c r="D171" s="13"/>
      <c r="E171" s="13"/>
      <c r="F171" s="13"/>
      <c r="G171" s="13"/>
      <c r="H171" s="226" t="s">
        <v>392</v>
      </c>
      <c r="I171" s="226"/>
      <c r="J171" s="226"/>
      <c r="K171" s="226"/>
      <c r="L171" s="226"/>
      <c r="M171" s="226"/>
      <c r="N171" s="226"/>
    </row>
    <row r="172" spans="1:17" s="39" customFormat="1" ht="18.5" x14ac:dyDescent="0.45">
      <c r="A172" s="13"/>
      <c r="B172" s="13"/>
      <c r="C172" s="13"/>
      <c r="D172" s="13"/>
      <c r="E172" s="13"/>
      <c r="F172" s="13"/>
      <c r="G172" s="13"/>
      <c r="H172" s="46"/>
      <c r="I172" s="46"/>
      <c r="J172" s="46"/>
      <c r="K172" s="46"/>
      <c r="L172" s="46"/>
    </row>
    <row r="173" spans="1:17" s="39" customFormat="1" ht="18.5" x14ac:dyDescent="0.45">
      <c r="A173" s="13"/>
      <c r="B173" s="197"/>
      <c r="C173" s="197"/>
      <c r="D173" s="197"/>
      <c r="E173" s="197"/>
      <c r="F173" s="197"/>
      <c r="G173" s="197"/>
      <c r="H173" s="46"/>
      <c r="I173" s="46"/>
      <c r="J173" s="186" t="s">
        <v>393</v>
      </c>
      <c r="K173" s="186"/>
      <c r="L173" s="186"/>
      <c r="M173" s="187"/>
      <c r="N173" s="187"/>
    </row>
    <row r="174" spans="1:17" s="39" customFormat="1" ht="18.5" x14ac:dyDescent="0.45">
      <c r="A174" s="13"/>
      <c r="B174" s="197"/>
      <c r="C174" s="197"/>
      <c r="D174" s="197"/>
      <c r="E174" s="197"/>
      <c r="F174" s="197"/>
      <c r="G174" s="197"/>
      <c r="H174" s="46"/>
      <c r="I174" s="193">
        <f>F167</f>
        <v>4351.9199391725506</v>
      </c>
      <c r="J174" s="191">
        <v>15</v>
      </c>
      <c r="K174" s="185">
        <v>20</v>
      </c>
      <c r="L174" s="185">
        <v>28.428479382715274</v>
      </c>
      <c r="M174" s="185">
        <v>30</v>
      </c>
      <c r="N174" s="185">
        <v>35</v>
      </c>
    </row>
    <row r="175" spans="1:17" s="39" customFormat="1" ht="18.5" x14ac:dyDescent="0.45">
      <c r="A175" s="13"/>
      <c r="B175" s="197"/>
      <c r="C175" s="197"/>
      <c r="D175" s="197"/>
      <c r="E175" s="197"/>
      <c r="F175" s="197"/>
      <c r="G175" s="197"/>
      <c r="H175" s="227" t="s">
        <v>394</v>
      </c>
      <c r="I175" s="188">
        <f>8%</f>
        <v>0.08</v>
      </c>
      <c r="J175" s="192">
        <f t="dataTable" ref="J175:N179" dt2D="1" dtr="1" r1="E135" r2="E137"/>
        <v>5042.927341020466</v>
      </c>
      <c r="K175" s="46">
        <v>5430.8348452021146</v>
      </c>
      <c r="L175" s="46">
        <v>6084.7289254812267</v>
      </c>
      <c r="M175" s="46">
        <v>6206.6498535654109</v>
      </c>
      <c r="N175" s="46">
        <v>6594.5573577470577</v>
      </c>
    </row>
    <row r="176" spans="1:17" s="39" customFormat="1" ht="18.5" x14ac:dyDescent="0.45">
      <c r="A176" s="13"/>
      <c r="B176" s="197"/>
      <c r="C176" s="197"/>
      <c r="D176" s="197"/>
      <c r="E176" s="197"/>
      <c r="F176" s="197"/>
      <c r="G176" s="197"/>
      <c r="H176" s="227"/>
      <c r="I176" s="188">
        <v>0.09</v>
      </c>
      <c r="J176" s="192">
        <v>3844.0171282525457</v>
      </c>
      <c r="K176" s="194">
        <v>4217.3181910340509</v>
      </c>
      <c r="L176" s="194">
        <v>4846.5902532739728</v>
      </c>
      <c r="M176" s="194">
        <v>4963.9203165970594</v>
      </c>
      <c r="N176" s="46">
        <v>5337.221379378565</v>
      </c>
    </row>
    <row r="177" spans="1:14" s="39" customFormat="1" ht="18.5" x14ac:dyDescent="0.45">
      <c r="A177" s="13"/>
      <c r="B177" s="197"/>
      <c r="C177" s="197"/>
      <c r="D177" s="197"/>
      <c r="E177" s="197"/>
      <c r="F177" s="197"/>
      <c r="G177" s="197"/>
      <c r="H177" s="227"/>
      <c r="I177" s="189">
        <f>0.097</f>
        <v>9.7000000000000003E-2</v>
      </c>
      <c r="J177" s="192">
        <v>3375.7205477242828</v>
      </c>
      <c r="K177" s="194">
        <v>3739.2015360128003</v>
      </c>
      <c r="L177" s="195">
        <v>4351.9199391725488</v>
      </c>
      <c r="M177" s="194">
        <v>4466.1635125898356</v>
      </c>
      <c r="N177" s="46">
        <v>4829.6445008783539</v>
      </c>
    </row>
    <row r="178" spans="1:14" s="39" customFormat="1" ht="18.5" x14ac:dyDescent="0.45">
      <c r="A178" s="13"/>
      <c r="B178" s="197"/>
      <c r="C178" s="197"/>
      <c r="D178" s="197"/>
      <c r="E178" s="197"/>
      <c r="F178" s="197"/>
      <c r="G178" s="197"/>
      <c r="H178" s="227"/>
      <c r="I178" s="190">
        <v>0.1</v>
      </c>
      <c r="J178" s="192">
        <v>3221.9363146216783</v>
      </c>
      <c r="K178" s="194">
        <v>3581.3068788573264</v>
      </c>
      <c r="L178" s="194">
        <v>4187.0963571403081</v>
      </c>
      <c r="M178" s="194">
        <v>4300.0480073286208</v>
      </c>
      <c r="N178" s="46">
        <v>4659.4185715642679</v>
      </c>
    </row>
    <row r="179" spans="1:14" s="39" customFormat="1" ht="18.5" x14ac:dyDescent="0.45">
      <c r="A179" s="13"/>
      <c r="B179" s="197"/>
      <c r="C179" s="197"/>
      <c r="D179" s="197"/>
      <c r="E179" s="197"/>
      <c r="F179" s="197"/>
      <c r="G179" s="197"/>
      <c r="H179" s="227"/>
      <c r="I179" s="190">
        <v>0.11</v>
      </c>
      <c r="J179" s="192">
        <v>2831.8142539149303</v>
      </c>
      <c r="K179" s="46">
        <v>3177.8932572057943</v>
      </c>
      <c r="L179" s="46">
        <v>3761.2772060113339</v>
      </c>
      <c r="M179" s="46">
        <v>3870.0512637875227</v>
      </c>
      <c r="N179" s="46">
        <v>4216.1302670783871</v>
      </c>
    </row>
    <row r="180" spans="1:14" s="39" customFormat="1" ht="18.5" x14ac:dyDescent="0.45">
      <c r="A180" s="13"/>
      <c r="B180" s="197"/>
      <c r="C180" s="197"/>
      <c r="D180" s="197"/>
      <c r="E180" s="197"/>
      <c r="F180" s="197"/>
      <c r="G180" s="197"/>
      <c r="H180" s="46"/>
      <c r="I180" s="46"/>
      <c r="J180" s="46"/>
      <c r="K180" s="46"/>
      <c r="L180" s="46"/>
    </row>
    <row r="181" spans="1:14" s="39" customFormat="1" ht="18.5" x14ac:dyDescent="0.45">
      <c r="A181" s="13"/>
      <c r="B181" s="197"/>
      <c r="C181" s="197"/>
      <c r="D181" s="197"/>
      <c r="E181" s="197"/>
      <c r="F181" s="197"/>
      <c r="G181" s="197"/>
      <c r="H181" s="46"/>
      <c r="I181" s="46"/>
      <c r="J181" s="46"/>
      <c r="K181" s="46"/>
      <c r="L181" s="46"/>
    </row>
    <row r="182" spans="1:14" s="39" customFormat="1" ht="18.5" x14ac:dyDescent="0.45">
      <c r="A182" s="13"/>
      <c r="B182" s="197"/>
      <c r="C182" s="197"/>
      <c r="D182" s="197"/>
      <c r="E182" s="197"/>
      <c r="F182" s="197"/>
      <c r="G182" s="197"/>
      <c r="H182" s="46"/>
      <c r="I182" s="46"/>
      <c r="J182" s="228" t="s">
        <v>372</v>
      </c>
      <c r="K182" s="228"/>
      <c r="L182" s="228"/>
      <c r="M182" s="228"/>
      <c r="N182" s="228"/>
    </row>
    <row r="183" spans="1:14" s="39" customFormat="1" ht="18.5" x14ac:dyDescent="0.45">
      <c r="A183" s="13"/>
      <c r="B183" s="197"/>
      <c r="C183" s="197"/>
      <c r="D183" s="197"/>
      <c r="E183" s="197"/>
      <c r="F183" s="197"/>
      <c r="G183" s="197"/>
      <c r="H183" s="46"/>
      <c r="I183" s="193">
        <f>F167</f>
        <v>4351.9199391725506</v>
      </c>
      <c r="J183" s="196">
        <v>0.04</v>
      </c>
      <c r="K183" s="189">
        <v>0.05</v>
      </c>
      <c r="L183" s="189">
        <v>0.06</v>
      </c>
      <c r="M183" s="189">
        <v>7.0000000000000007E-2</v>
      </c>
      <c r="N183" s="189">
        <v>7.4999999999999997E-2</v>
      </c>
    </row>
    <row r="184" spans="1:14" s="39" customFormat="1" ht="18.5" x14ac:dyDescent="0.45">
      <c r="A184" s="13"/>
      <c r="B184" s="197"/>
      <c r="C184" s="197"/>
      <c r="D184" s="197"/>
      <c r="E184" s="197"/>
      <c r="F184" s="197"/>
      <c r="G184" s="197"/>
      <c r="H184" s="227" t="s">
        <v>394</v>
      </c>
      <c r="I184" s="188">
        <f>8%</f>
        <v>0.08</v>
      </c>
      <c r="J184" s="192">
        <f t="dataTable" ref="J184:N188" dt2D="1" dtr="1" r1="E136" r2="E137" ca="1"/>
        <v>4459.9844483270836</v>
      </c>
      <c r="K184" s="46">
        <v>5001.5659407117973</v>
      </c>
      <c r="L184" s="46">
        <v>6084.7289254812267</v>
      </c>
      <c r="M184" s="46">
        <v>9334.217879789514</v>
      </c>
      <c r="N184" s="46">
        <v>15833.195788406074</v>
      </c>
    </row>
    <row r="185" spans="1:14" s="39" customFormat="1" ht="18.5" x14ac:dyDescent="0.45">
      <c r="A185" s="13"/>
      <c r="B185" s="197"/>
      <c r="C185" s="197"/>
      <c r="D185" s="197"/>
      <c r="E185" s="197"/>
      <c r="F185" s="197"/>
      <c r="G185" s="197"/>
      <c r="H185" s="227"/>
      <c r="I185" s="188">
        <v>0.09</v>
      </c>
      <c r="J185" s="192">
        <v>4004.9672736965772</v>
      </c>
      <c r="K185" s="194">
        <v>4320.575891038101</v>
      </c>
      <c r="L185" s="194">
        <v>4846.5902532739728</v>
      </c>
      <c r="M185" s="194">
        <v>5898.6189777457203</v>
      </c>
      <c r="N185" s="46">
        <v>6950.6477022174631</v>
      </c>
    </row>
    <row r="186" spans="1:14" s="39" customFormat="1" ht="18.5" x14ac:dyDescent="0.45">
      <c r="A186" s="13"/>
      <c r="B186" s="197"/>
      <c r="C186" s="197"/>
      <c r="D186" s="197"/>
      <c r="E186" s="197"/>
      <c r="F186" s="197"/>
      <c r="G186" s="197"/>
      <c r="H186" s="227"/>
      <c r="I186" s="189">
        <f>0.097</f>
        <v>9.7000000000000003E-2</v>
      </c>
      <c r="J186" s="192">
        <v>3765.3296518735638</v>
      </c>
      <c r="K186" s="194">
        <v>3996.2215734699735</v>
      </c>
      <c r="L186" s="195">
        <v>4351.9199391725488</v>
      </c>
      <c r="M186" s="194">
        <v>4971.0985757659228</v>
      </c>
      <c r="N186" s="46">
        <v>5491.7715201739848</v>
      </c>
    </row>
    <row r="187" spans="1:14" s="39" customFormat="1" ht="18.5" x14ac:dyDescent="0.45">
      <c r="A187" s="13"/>
      <c r="B187" s="197"/>
      <c r="C187" s="197"/>
      <c r="D187" s="197"/>
      <c r="E187" s="197"/>
      <c r="F187" s="197"/>
      <c r="G187" s="197"/>
      <c r="H187" s="227"/>
      <c r="I187" s="190">
        <v>0.1</v>
      </c>
      <c r="J187" s="192">
        <v>3676.0655705439426</v>
      </c>
      <c r="K187" s="194">
        <v>3880.477885182489</v>
      </c>
      <c r="L187" s="194">
        <v>4187.0963571403081</v>
      </c>
      <c r="M187" s="194">
        <v>4698.127143736674</v>
      </c>
      <c r="N187" s="46">
        <v>5106.9517730137641</v>
      </c>
    </row>
    <row r="188" spans="1:14" s="39" customFormat="1" ht="18.5" x14ac:dyDescent="0.45">
      <c r="A188" s="13"/>
      <c r="B188" s="197"/>
      <c r="C188" s="197"/>
      <c r="D188" s="197"/>
      <c r="E188" s="197"/>
      <c r="F188" s="197"/>
      <c r="G188" s="197"/>
      <c r="H188" s="227"/>
      <c r="I188" s="190">
        <v>0.11</v>
      </c>
      <c r="J188" s="192">
        <v>3420.7488314253719</v>
      </c>
      <c r="K188" s="46">
        <v>3562.6356541695227</v>
      </c>
      <c r="L188" s="46">
        <v>3761.2772060113339</v>
      </c>
      <c r="M188" s="46">
        <v>4059.2395337740509</v>
      </c>
      <c r="N188" s="46">
        <v>4272.0697678902779</v>
      </c>
    </row>
    <row r="189" spans="1:14" s="39" customFormat="1" ht="18.5" x14ac:dyDescent="0.45">
      <c r="A189" s="13"/>
      <c r="B189" s="13"/>
      <c r="C189" s="13"/>
      <c r="D189" s="13"/>
      <c r="E189" s="13"/>
      <c r="F189" s="13"/>
      <c r="G189" s="13"/>
      <c r="H189" s="46"/>
      <c r="I189" s="46"/>
      <c r="J189" s="46"/>
      <c r="K189" s="46"/>
      <c r="L189" s="46"/>
    </row>
    <row r="190" spans="1:14" s="39" customFormat="1" ht="18.5" x14ac:dyDescent="0.45">
      <c r="A190" s="13"/>
      <c r="B190" s="13"/>
      <c r="C190" s="13"/>
      <c r="D190" s="13"/>
      <c r="E190" s="13"/>
      <c r="F190" s="13"/>
      <c r="G190" s="13"/>
      <c r="H190" s="46"/>
      <c r="I190" s="46"/>
      <c r="J190" s="46"/>
      <c r="K190" s="46"/>
      <c r="L190" s="46"/>
    </row>
    <row r="191" spans="1:14" s="39" customFormat="1" ht="18.5" x14ac:dyDescent="0.45">
      <c r="A191" s="13"/>
      <c r="B191" s="13"/>
      <c r="C191" s="13"/>
      <c r="D191" s="13"/>
      <c r="E191" s="13"/>
      <c r="F191" s="13"/>
      <c r="G191" s="13"/>
      <c r="H191" s="46"/>
      <c r="I191" s="46"/>
      <c r="J191" s="46"/>
      <c r="K191" s="46"/>
      <c r="L191" s="46"/>
    </row>
    <row r="192" spans="1:14" s="39" customFormat="1" ht="18.5" x14ac:dyDescent="0.45">
      <c r="A192" s="13"/>
      <c r="B192" s="13"/>
      <c r="C192" s="13"/>
      <c r="D192" s="13"/>
      <c r="E192" s="13"/>
      <c r="F192" s="13"/>
      <c r="G192" s="13"/>
      <c r="H192" s="46"/>
      <c r="I192" s="46"/>
      <c r="J192" s="46"/>
      <c r="K192" s="46"/>
      <c r="L192" s="46"/>
    </row>
    <row r="193" spans="1:12" s="39" customFormat="1" ht="18.5" x14ac:dyDescent="0.45">
      <c r="A193" s="13"/>
      <c r="B193" s="13"/>
      <c r="C193" s="13"/>
      <c r="D193" s="13"/>
      <c r="E193" s="13"/>
      <c r="F193" s="13"/>
      <c r="G193" s="13"/>
      <c r="H193" s="46"/>
      <c r="I193" s="46"/>
      <c r="J193" s="46"/>
      <c r="K193" s="46"/>
      <c r="L193" s="46"/>
    </row>
    <row r="194" spans="1:12" s="39" customFormat="1" ht="18.5" x14ac:dyDescent="0.45">
      <c r="A194" s="13"/>
      <c r="B194" s="13"/>
      <c r="C194" s="13"/>
      <c r="D194" s="13"/>
      <c r="E194" s="13"/>
      <c r="F194" s="13"/>
      <c r="G194" s="13"/>
      <c r="H194" s="46"/>
      <c r="I194" s="46"/>
      <c r="J194" s="46"/>
      <c r="K194" s="46"/>
      <c r="L194" s="46"/>
    </row>
    <row r="195" spans="1:12" s="39" customFormat="1" ht="18.5" x14ac:dyDescent="0.45">
      <c r="A195" s="13"/>
      <c r="B195" s="13"/>
      <c r="C195" s="13"/>
      <c r="D195" s="13"/>
      <c r="E195" s="13"/>
      <c r="F195" s="13"/>
      <c r="G195" s="13"/>
      <c r="H195" s="46"/>
      <c r="I195" s="46"/>
      <c r="J195" s="46"/>
      <c r="K195" s="46"/>
      <c r="L195" s="46"/>
    </row>
    <row r="196" spans="1:12" s="39" customFormat="1" ht="18.5" x14ac:dyDescent="0.45">
      <c r="A196" s="13"/>
      <c r="B196" s="13"/>
      <c r="C196" s="13"/>
      <c r="D196" s="13"/>
      <c r="E196" s="13"/>
      <c r="F196" s="13"/>
      <c r="G196" s="13"/>
      <c r="H196" s="46"/>
      <c r="I196" s="46"/>
      <c r="J196" s="46"/>
      <c r="K196" s="46"/>
      <c r="L196" s="46"/>
    </row>
    <row r="197" spans="1:12" s="39" customFormat="1" ht="18.5" x14ac:dyDescent="0.45">
      <c r="A197" s="13"/>
      <c r="B197" s="13"/>
      <c r="C197" s="13"/>
      <c r="D197" s="13"/>
      <c r="E197" s="13"/>
      <c r="F197" s="13"/>
      <c r="G197" s="13"/>
      <c r="H197" s="46"/>
      <c r="I197" s="46"/>
      <c r="J197" s="46"/>
      <c r="K197" s="46"/>
      <c r="L197" s="46"/>
    </row>
    <row r="198" spans="1:12" s="39" customFormat="1" ht="18.5" x14ac:dyDescent="0.45">
      <c r="A198" s="13"/>
      <c r="B198" s="13"/>
      <c r="C198" s="13"/>
      <c r="D198" s="13"/>
      <c r="E198" s="13"/>
      <c r="F198" s="13"/>
      <c r="G198" s="13"/>
      <c r="H198" s="46"/>
      <c r="I198" s="46"/>
      <c r="J198" s="46"/>
      <c r="K198" s="46"/>
      <c r="L198" s="46"/>
    </row>
    <row r="199" spans="1:12" s="39" customFormat="1" ht="18.5" x14ac:dyDescent="0.45">
      <c r="A199" s="13"/>
      <c r="B199" s="13"/>
      <c r="C199" s="13"/>
      <c r="D199" s="13"/>
      <c r="E199" s="13"/>
      <c r="F199" s="13"/>
      <c r="G199" s="13"/>
      <c r="H199" s="46"/>
      <c r="I199" s="46"/>
      <c r="J199" s="46"/>
      <c r="K199" s="46"/>
      <c r="L199" s="46"/>
    </row>
    <row r="200" spans="1:12" s="39" customFormat="1" ht="18.5" x14ac:dyDescent="0.45">
      <c r="A200" s="13"/>
      <c r="B200" s="13"/>
      <c r="C200" s="13"/>
      <c r="D200" s="13"/>
      <c r="E200" s="13"/>
      <c r="F200" s="13"/>
      <c r="G200" s="13"/>
      <c r="H200" s="46"/>
      <c r="I200" s="46"/>
      <c r="J200" s="46"/>
      <c r="K200" s="46"/>
      <c r="L200" s="46"/>
    </row>
    <row r="201" spans="1:12" s="39" customFormat="1" ht="18.5" x14ac:dyDescent="0.45">
      <c r="A201" s="13"/>
      <c r="B201" s="13"/>
      <c r="C201" s="13"/>
      <c r="D201" s="13"/>
      <c r="E201" s="13"/>
      <c r="F201" s="13"/>
      <c r="G201" s="13"/>
      <c r="H201" s="46"/>
      <c r="I201" s="46"/>
      <c r="J201" s="46"/>
      <c r="K201" s="46"/>
      <c r="L201" s="46"/>
    </row>
    <row r="202" spans="1:12" s="39" customFormat="1" ht="18.5" x14ac:dyDescent="0.45">
      <c r="A202" s="13"/>
      <c r="B202" s="13"/>
      <c r="C202" s="13"/>
      <c r="D202" s="13"/>
      <c r="E202" s="13"/>
      <c r="F202" s="13"/>
      <c r="G202" s="13"/>
      <c r="H202" s="46"/>
      <c r="I202" s="46"/>
      <c r="J202" s="46"/>
      <c r="K202" s="46"/>
      <c r="L202" s="46"/>
    </row>
    <row r="203" spans="1:12" s="39" customFormat="1" ht="18.5" x14ac:dyDescent="0.45">
      <c r="A203" s="13"/>
      <c r="B203" s="13"/>
      <c r="C203" s="13"/>
      <c r="D203" s="13"/>
      <c r="E203" s="13"/>
      <c r="F203" s="13"/>
      <c r="G203" s="13"/>
      <c r="H203" s="46"/>
      <c r="I203" s="46"/>
      <c r="J203" s="46"/>
      <c r="K203" s="46"/>
      <c r="L203" s="46"/>
    </row>
    <row r="204" spans="1:12" s="39" customFormat="1" ht="18.5" x14ac:dyDescent="0.45">
      <c r="A204" s="13"/>
      <c r="B204" s="13"/>
      <c r="C204" s="13"/>
      <c r="D204" s="13"/>
      <c r="E204" s="13"/>
      <c r="F204" s="13"/>
      <c r="G204" s="13"/>
      <c r="H204" s="46"/>
      <c r="I204" s="46"/>
      <c r="J204" s="46"/>
      <c r="K204" s="46"/>
      <c r="L204" s="46"/>
    </row>
    <row r="205" spans="1:12" s="39" customFormat="1" ht="18.5" x14ac:dyDescent="0.45">
      <c r="A205" s="13"/>
      <c r="B205" s="13"/>
      <c r="C205" s="13"/>
      <c r="D205" s="13"/>
      <c r="E205" s="13"/>
      <c r="F205" s="13"/>
      <c r="G205" s="13"/>
      <c r="H205" s="46"/>
      <c r="I205" s="46"/>
      <c r="J205" s="46"/>
      <c r="K205" s="46"/>
      <c r="L205" s="46"/>
    </row>
    <row r="206" spans="1:12" s="39" customFormat="1" ht="18.5" x14ac:dyDescent="0.45">
      <c r="A206" s="13"/>
      <c r="B206" s="13"/>
      <c r="C206" s="13"/>
      <c r="D206" s="13"/>
      <c r="E206" s="13"/>
      <c r="F206" s="13"/>
      <c r="G206" s="13"/>
      <c r="H206" s="46"/>
      <c r="I206" s="46"/>
      <c r="J206" s="46"/>
      <c r="K206" s="46"/>
      <c r="L206" s="46"/>
    </row>
    <row r="207" spans="1:12" s="39" customFormat="1" ht="18.5" x14ac:dyDescent="0.45">
      <c r="A207" s="13"/>
      <c r="B207" s="13"/>
      <c r="C207" s="13"/>
      <c r="D207" s="13"/>
      <c r="E207" s="13"/>
      <c r="F207" s="13"/>
      <c r="G207" s="13"/>
      <c r="H207" s="46"/>
      <c r="I207" s="46"/>
      <c r="J207" s="46"/>
      <c r="K207" s="46"/>
      <c r="L207" s="46"/>
    </row>
    <row r="208" spans="1:12" s="39" customFormat="1" ht="18.5" x14ac:dyDescent="0.45">
      <c r="A208" s="13"/>
      <c r="B208" s="13"/>
      <c r="C208" s="13"/>
      <c r="D208" s="13"/>
      <c r="E208" s="13"/>
      <c r="F208" s="13"/>
      <c r="G208" s="13"/>
      <c r="H208" s="46"/>
      <c r="I208" s="46"/>
      <c r="J208" s="46"/>
      <c r="K208" s="46"/>
      <c r="L208" s="46"/>
    </row>
    <row r="209" spans="1:12" s="39" customFormat="1" ht="18.5" x14ac:dyDescent="0.45">
      <c r="A209" s="13"/>
      <c r="B209" s="13"/>
      <c r="C209" s="13"/>
      <c r="D209" s="13"/>
      <c r="E209" s="13"/>
      <c r="F209" s="13"/>
      <c r="G209" s="13"/>
      <c r="H209" s="46"/>
      <c r="I209" s="46"/>
      <c r="J209" s="46"/>
      <c r="K209" s="46"/>
      <c r="L209" s="46"/>
    </row>
    <row r="210" spans="1:12" s="39" customFormat="1" ht="18.5" x14ac:dyDescent="0.45">
      <c r="H210" s="46"/>
      <c r="I210" s="46"/>
      <c r="J210" s="46"/>
      <c r="K210" s="46"/>
      <c r="L210" s="46"/>
    </row>
    <row r="211" spans="1:12" s="39" customFormat="1" ht="18.5" x14ac:dyDescent="0.45">
      <c r="H211" s="46"/>
      <c r="I211" s="46"/>
      <c r="J211" s="46"/>
      <c r="K211" s="46"/>
      <c r="L211" s="46"/>
    </row>
    <row r="212" spans="1:12" s="39" customFormat="1" ht="18.5" x14ac:dyDescent="0.45">
      <c r="H212" s="46"/>
      <c r="I212" s="46"/>
      <c r="J212" s="46"/>
      <c r="K212" s="46"/>
      <c r="L212" s="46"/>
    </row>
    <row r="213" spans="1:12" s="39" customFormat="1" ht="18.5" x14ac:dyDescent="0.45">
      <c r="H213" s="46"/>
      <c r="I213" s="46"/>
      <c r="J213" s="46"/>
      <c r="K213" s="46"/>
      <c r="L213" s="46"/>
    </row>
    <row r="214" spans="1:12" s="39" customFormat="1" ht="18.5" x14ac:dyDescent="0.45">
      <c r="H214" s="46"/>
      <c r="I214" s="46"/>
      <c r="J214" s="46"/>
      <c r="K214" s="46"/>
      <c r="L214" s="46"/>
    </row>
    <row r="215" spans="1:12" s="39" customFormat="1" ht="18.5" x14ac:dyDescent="0.45">
      <c r="H215" s="46"/>
      <c r="I215" s="46"/>
      <c r="J215" s="46"/>
      <c r="K215" s="46"/>
      <c r="L215" s="46"/>
    </row>
    <row r="216" spans="1:12" s="39" customFormat="1" ht="18.5" x14ac:dyDescent="0.45">
      <c r="H216" s="46"/>
      <c r="I216" s="46"/>
      <c r="J216" s="46"/>
      <c r="K216" s="46"/>
      <c r="L216" s="46"/>
    </row>
    <row r="217" spans="1:12" s="39" customFormat="1" ht="18.5" x14ac:dyDescent="0.45">
      <c r="H217" s="46"/>
      <c r="I217" s="46"/>
      <c r="J217" s="46"/>
      <c r="K217" s="46"/>
      <c r="L217" s="46"/>
    </row>
    <row r="218" spans="1:12" s="39" customFormat="1" ht="18.5" x14ac:dyDescent="0.45">
      <c r="H218" s="46"/>
      <c r="I218" s="46"/>
      <c r="J218" s="46"/>
      <c r="K218" s="46"/>
      <c r="L218" s="46"/>
    </row>
    <row r="219" spans="1:12" s="39" customFormat="1" ht="18.5" x14ac:dyDescent="0.45"/>
    <row r="220" spans="1:12" s="39" customFormat="1" ht="18.5" x14ac:dyDescent="0.45"/>
    <row r="221" spans="1:12" s="39" customFormat="1" ht="18.5" x14ac:dyDescent="0.45"/>
    <row r="222" spans="1:12" s="39" customFormat="1" ht="18.5" x14ac:dyDescent="0.45"/>
    <row r="223" spans="1:12" s="39" customFormat="1" ht="18.5" x14ac:dyDescent="0.45"/>
    <row r="224" spans="1:12" s="39" customFormat="1" ht="18.5" x14ac:dyDescent="0.45"/>
  </sheetData>
  <mergeCells count="6">
    <mergeCell ref="F1:K1"/>
    <mergeCell ref="M1:Q1"/>
    <mergeCell ref="H171:N171"/>
    <mergeCell ref="H175:H179"/>
    <mergeCell ref="H184:H188"/>
    <mergeCell ref="J182:N182"/>
  </mergeCells>
  <pageMargins left="0.7" right="0.7" top="0.75" bottom="0.75" header="0.3" footer="0.3"/>
  <ignoredErrors>
    <ignoredError sqref="H103:L103" formulaRange="1"/>
  </ignoredErrors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E7CE24FD-369F-4FD1-9B19-4483D209DB2A}">
          <x14:formula1>
            <xm:f>Scenario!$D$5:$D$7</xm:f>
          </x14:formula1>
          <xm:sqref>E7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4EA1A-905E-49EF-B87E-4A22178DB2A7}">
  <dimension ref="A1:Q224"/>
  <sheetViews>
    <sheetView showGridLines="0" zoomScale="76" workbookViewId="0">
      <pane ySplit="3" topLeftCell="A4" activePane="bottomLeft" state="frozen"/>
      <selection pane="bottomLeft" activeCell="I5" sqref="I5"/>
    </sheetView>
  </sheetViews>
  <sheetFormatPr defaultColWidth="11.6328125" defaultRowHeight="14.5" outlineLevelRow="1" x14ac:dyDescent="0.35"/>
  <cols>
    <col min="1" max="3" width="1.26953125" style="1" customWidth="1"/>
    <col min="4" max="4" width="40.6328125" style="1" customWidth="1"/>
    <col min="5" max="6" width="12.6328125" style="1" customWidth="1"/>
    <col min="7" max="7" width="2.6328125" style="1" customWidth="1"/>
    <col min="8" max="8" width="12.1796875" style="1" bestFit="1" customWidth="1"/>
    <col min="9" max="9" width="11.54296875" style="1" customWidth="1"/>
    <col min="10" max="16384" width="11.6328125" style="1"/>
  </cols>
  <sheetData>
    <row r="1" spans="1:17" ht="33" x14ac:dyDescent="0.7">
      <c r="A1" s="31" t="s">
        <v>168</v>
      </c>
      <c r="B1" s="32"/>
      <c r="C1" s="32"/>
      <c r="D1" s="32"/>
      <c r="E1" s="33"/>
      <c r="F1" s="224"/>
      <c r="G1" s="224"/>
      <c r="H1" s="224"/>
      <c r="I1" s="224"/>
      <c r="J1" s="224"/>
      <c r="K1" s="224"/>
      <c r="L1" s="36"/>
      <c r="M1" s="225"/>
      <c r="N1" s="225"/>
      <c r="O1" s="225"/>
      <c r="P1" s="225"/>
      <c r="Q1" s="225"/>
    </row>
    <row r="2" spans="1:17" ht="20.5" x14ac:dyDescent="0.45">
      <c r="A2" s="34" t="s">
        <v>267</v>
      </c>
      <c r="B2" s="32"/>
      <c r="C2" s="32"/>
      <c r="D2" s="32"/>
      <c r="E2" s="33"/>
      <c r="F2" s="33"/>
      <c r="G2" s="33"/>
      <c r="H2" s="35"/>
      <c r="I2" s="35"/>
      <c r="J2" s="35"/>
      <c r="K2" s="35"/>
      <c r="L2" s="35"/>
      <c r="M2" s="37"/>
      <c r="N2" s="37"/>
      <c r="O2" s="37"/>
      <c r="P2" s="37"/>
      <c r="Q2" s="37"/>
    </row>
    <row r="3" spans="1:17" ht="20.5" x14ac:dyDescent="0.45">
      <c r="A3" s="57"/>
      <c r="B3" s="53"/>
      <c r="C3" s="53"/>
      <c r="D3" s="58"/>
      <c r="E3" s="58"/>
      <c r="F3" s="58"/>
      <c r="G3" s="58"/>
      <c r="H3" s="59"/>
      <c r="I3" s="59"/>
      <c r="J3" s="59"/>
      <c r="K3" s="59"/>
      <c r="L3" s="59"/>
      <c r="M3" s="56"/>
      <c r="N3" s="56"/>
      <c r="O3" s="56"/>
      <c r="P3" s="56"/>
      <c r="Q3" s="56"/>
    </row>
    <row r="4" spans="1:17" ht="20.5" x14ac:dyDescent="0.45">
      <c r="A4" s="57"/>
      <c r="B4" s="53"/>
      <c r="C4" s="73" t="s">
        <v>267</v>
      </c>
      <c r="D4" s="69"/>
      <c r="E4" s="69" t="s">
        <v>271</v>
      </c>
      <c r="F4" s="69"/>
      <c r="G4" s="69"/>
      <c r="H4" s="67">
        <f>Model!M2</f>
        <v>2024</v>
      </c>
      <c r="I4" s="67">
        <f>Model!N2</f>
        <v>2025</v>
      </c>
      <c r="J4" s="67">
        <f>Model!O2</f>
        <v>2026</v>
      </c>
      <c r="K4" s="67">
        <f>Model!P2</f>
        <v>2027</v>
      </c>
      <c r="L4" s="67">
        <f>Model!Q2</f>
        <v>2028</v>
      </c>
      <c r="M4" s="67"/>
      <c r="N4" s="67"/>
      <c r="O4" s="67"/>
      <c r="P4" s="67"/>
      <c r="Q4" s="67"/>
    </row>
    <row r="5" spans="1:17" s="54" customFormat="1" ht="20.5" x14ac:dyDescent="0.45">
      <c r="A5" s="57"/>
      <c r="B5" s="57"/>
      <c r="C5" s="57"/>
      <c r="D5" s="69" t="s">
        <v>268</v>
      </c>
      <c r="E5" s="75">
        <f>AVERAGE(Model!I8:L8)</f>
        <v>0.12172337870635669</v>
      </c>
      <c r="F5" s="69"/>
      <c r="G5" s="69"/>
      <c r="H5" s="74">
        <f>E5</f>
        <v>0.12172337870635669</v>
      </c>
      <c r="I5" s="74">
        <f>H5*(1-$E$8)</f>
        <v>0.10346487190040318</v>
      </c>
      <c r="J5" s="74">
        <f t="shared" ref="J5:L5" si="0">I5*(1-$E$8)</f>
        <v>8.7945141115342698E-2</v>
      </c>
      <c r="K5" s="74">
        <f t="shared" si="0"/>
        <v>7.4753369948041298E-2</v>
      </c>
      <c r="L5" s="74">
        <f t="shared" si="0"/>
        <v>6.3540364455835108E-2</v>
      </c>
      <c r="M5" s="78">
        <v>0.06</v>
      </c>
      <c r="N5" s="69"/>
      <c r="O5" s="69"/>
      <c r="P5" s="69"/>
      <c r="Q5" s="69"/>
    </row>
    <row r="6" spans="1:17" ht="20.5" x14ac:dyDescent="0.45">
      <c r="A6" s="57"/>
      <c r="B6" s="53"/>
      <c r="C6" s="53"/>
      <c r="D6" s="69" t="s">
        <v>269</v>
      </c>
      <c r="E6" s="75">
        <f>MAX(Model!H8:L8)</f>
        <v>0.19956886681458896</v>
      </c>
      <c r="F6" s="69"/>
      <c r="G6" s="69"/>
      <c r="H6" s="74">
        <f t="shared" ref="H6:H7" si="1">E6</f>
        <v>0.19956886681458896</v>
      </c>
      <c r="I6" s="74">
        <f t="shared" ref="I6:L7" si="2">H6*(1-$E$8)</f>
        <v>0.16963353679240062</v>
      </c>
      <c r="J6" s="74">
        <f t="shared" si="2"/>
        <v>0.14418850627354052</v>
      </c>
      <c r="K6" s="74">
        <f t="shared" si="2"/>
        <v>0.12256023033250944</v>
      </c>
      <c r="L6" s="74">
        <f t="shared" si="2"/>
        <v>0.10417619578263303</v>
      </c>
      <c r="M6" s="70"/>
      <c r="N6" s="70"/>
      <c r="O6" s="70"/>
      <c r="P6" s="70"/>
      <c r="Q6" s="70"/>
    </row>
    <row r="7" spans="1:17" ht="15.5" x14ac:dyDescent="0.35">
      <c r="A7" s="43"/>
      <c r="B7" s="43"/>
      <c r="C7" s="43"/>
      <c r="D7" s="63" t="s">
        <v>270</v>
      </c>
      <c r="E7" s="76">
        <f>MIN(Model!I8:L8)</f>
        <v>6.2395438355967281E-2</v>
      </c>
      <c r="F7" s="63"/>
      <c r="G7" s="63"/>
      <c r="H7" s="74">
        <f t="shared" si="1"/>
        <v>6.2395438355967281E-2</v>
      </c>
      <c r="I7" s="74">
        <f t="shared" si="2"/>
        <v>5.3036122602572185E-2</v>
      </c>
      <c r="J7" s="74">
        <f t="shared" si="2"/>
        <v>4.5080704212186358E-2</v>
      </c>
      <c r="K7" s="74">
        <f t="shared" si="2"/>
        <v>3.8318598580358403E-2</v>
      </c>
      <c r="L7" s="74">
        <f t="shared" si="2"/>
        <v>3.2570808793304644E-2</v>
      </c>
      <c r="M7" s="70"/>
      <c r="N7" s="70"/>
      <c r="O7" s="70"/>
      <c r="P7" s="70"/>
      <c r="Q7" s="70"/>
    </row>
    <row r="8" spans="1:17" ht="15.5" x14ac:dyDescent="0.35">
      <c r="A8" s="43"/>
      <c r="B8" s="43"/>
      <c r="C8" s="43"/>
      <c r="D8" s="63" t="s">
        <v>272</v>
      </c>
      <c r="E8" s="77">
        <f>0.15</f>
        <v>0.15</v>
      </c>
      <c r="F8" s="63"/>
      <c r="G8" s="63"/>
      <c r="H8" s="71"/>
      <c r="I8" s="71"/>
      <c r="J8" s="71"/>
      <c r="K8" s="71"/>
      <c r="L8" s="71"/>
      <c r="M8" s="71"/>
      <c r="N8" s="71"/>
      <c r="O8" s="71"/>
      <c r="P8" s="71"/>
      <c r="Q8" s="71"/>
    </row>
    <row r="9" spans="1:17" ht="15.5" x14ac:dyDescent="0.35">
      <c r="A9" s="43"/>
      <c r="B9" s="43"/>
      <c r="C9" s="43"/>
      <c r="D9" s="63"/>
      <c r="E9" s="63"/>
      <c r="F9" s="63"/>
      <c r="G9" s="63"/>
      <c r="H9" s="71"/>
      <c r="I9" s="71"/>
      <c r="J9" s="71"/>
      <c r="K9" s="71"/>
      <c r="L9" s="71"/>
      <c r="M9" s="71"/>
      <c r="N9" s="71"/>
      <c r="O9" s="71"/>
      <c r="P9" s="71"/>
      <c r="Q9" s="71"/>
    </row>
    <row r="10" spans="1:17" ht="15.5" x14ac:dyDescent="0.35">
      <c r="A10" s="43"/>
      <c r="B10" s="43"/>
      <c r="C10" s="43"/>
      <c r="D10" s="63"/>
      <c r="E10" s="63"/>
      <c r="F10" s="63"/>
      <c r="G10" s="63"/>
      <c r="H10" s="71"/>
      <c r="I10" s="71"/>
      <c r="J10" s="71"/>
      <c r="K10" s="71"/>
      <c r="L10" s="71"/>
      <c r="M10" s="71"/>
      <c r="N10" s="71"/>
      <c r="O10" s="71"/>
      <c r="P10" s="71"/>
      <c r="Q10" s="71"/>
    </row>
    <row r="11" spans="1:17" ht="15.5" x14ac:dyDescent="0.35">
      <c r="A11" s="43"/>
      <c r="B11" s="43"/>
      <c r="C11" s="43"/>
      <c r="D11" s="63"/>
      <c r="E11" s="63"/>
      <c r="F11" s="63"/>
      <c r="G11" s="63"/>
      <c r="H11" s="71"/>
      <c r="I11" s="71"/>
      <c r="J11" s="71"/>
      <c r="K11" s="71"/>
      <c r="L11" s="71"/>
      <c r="M11" s="71"/>
      <c r="N11" s="71"/>
      <c r="O11" s="71"/>
      <c r="P11" s="71"/>
      <c r="Q11" s="71"/>
    </row>
    <row r="12" spans="1:17" ht="15.5" x14ac:dyDescent="0.35">
      <c r="A12" s="43"/>
      <c r="B12" s="43"/>
      <c r="C12" s="43"/>
      <c r="D12" s="63"/>
      <c r="E12" s="63"/>
      <c r="F12" s="63"/>
      <c r="G12" s="63"/>
      <c r="H12" s="71"/>
      <c r="I12" s="71"/>
      <c r="J12" s="71"/>
      <c r="K12" s="71"/>
      <c r="L12" s="71"/>
      <c r="M12" s="71"/>
      <c r="N12" s="71"/>
      <c r="O12" s="71"/>
      <c r="P12" s="71"/>
      <c r="Q12" s="71"/>
    </row>
    <row r="13" spans="1:17" ht="15.5" x14ac:dyDescent="0.35">
      <c r="A13" s="43"/>
      <c r="B13" s="43"/>
      <c r="C13" s="43"/>
      <c r="D13" s="63"/>
      <c r="E13" s="63"/>
      <c r="F13" s="63"/>
      <c r="G13" s="63"/>
      <c r="H13" s="71"/>
      <c r="I13" s="71"/>
      <c r="J13" s="71"/>
      <c r="K13" s="71"/>
      <c r="L13" s="71"/>
      <c r="M13" s="71"/>
      <c r="N13" s="71"/>
      <c r="O13" s="71"/>
      <c r="P13" s="71"/>
      <c r="Q13" s="71"/>
    </row>
    <row r="14" spans="1:17" ht="15.5" x14ac:dyDescent="0.35">
      <c r="A14" s="43"/>
      <c r="B14" s="43"/>
      <c r="C14" s="43"/>
      <c r="D14" s="63"/>
      <c r="E14" s="63"/>
      <c r="F14" s="63"/>
      <c r="G14" s="63"/>
      <c r="H14" s="71"/>
      <c r="I14" s="71"/>
      <c r="J14" s="71"/>
      <c r="K14" s="71"/>
      <c r="L14" s="71"/>
      <c r="M14" s="71"/>
      <c r="N14" s="71"/>
      <c r="O14" s="71"/>
      <c r="P14" s="71"/>
      <c r="Q14" s="71"/>
    </row>
    <row r="15" spans="1:17" ht="15.5" x14ac:dyDescent="0.35">
      <c r="A15" s="43"/>
      <c r="B15" s="43"/>
      <c r="C15" s="43"/>
      <c r="D15" s="63"/>
      <c r="E15" s="63"/>
      <c r="F15" s="63"/>
      <c r="G15" s="63"/>
      <c r="H15" s="71"/>
      <c r="I15" s="71"/>
      <c r="J15" s="71"/>
      <c r="K15" s="71"/>
      <c r="L15" s="71"/>
      <c r="M15" s="71"/>
      <c r="N15" s="71"/>
      <c r="O15" s="71"/>
      <c r="P15" s="71"/>
      <c r="Q15" s="71"/>
    </row>
    <row r="16" spans="1:17" ht="15.5" x14ac:dyDescent="0.35">
      <c r="A16" s="43"/>
      <c r="B16" s="43"/>
      <c r="C16" s="43"/>
      <c r="D16" s="63"/>
      <c r="E16" s="63"/>
      <c r="F16" s="63"/>
      <c r="G16" s="63"/>
      <c r="H16" s="71"/>
      <c r="I16" s="71"/>
      <c r="J16" s="71"/>
      <c r="K16" s="71"/>
      <c r="L16" s="71"/>
      <c r="M16" s="71"/>
      <c r="N16" s="71"/>
      <c r="O16" s="71"/>
      <c r="P16" s="71"/>
      <c r="Q16" s="71"/>
    </row>
    <row r="17" spans="1:17" ht="15.5" x14ac:dyDescent="0.35">
      <c r="A17" s="43"/>
      <c r="B17" s="43"/>
      <c r="C17" s="4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</row>
    <row r="18" spans="1:17" ht="15.5" x14ac:dyDescent="0.35">
      <c r="A18" s="43"/>
      <c r="B18" s="43"/>
      <c r="C18" s="4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</row>
    <row r="19" spans="1:17" ht="15.5" x14ac:dyDescent="0.35">
      <c r="A19" s="43"/>
      <c r="B19" s="43"/>
      <c r="C19" s="4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</row>
    <row r="20" spans="1:17" ht="15.5" x14ac:dyDescent="0.35">
      <c r="A20" s="43"/>
      <c r="B20" s="43"/>
      <c r="C20" s="43"/>
      <c r="D20" s="63"/>
      <c r="E20" s="63"/>
      <c r="F20" s="63"/>
      <c r="G20" s="63"/>
      <c r="H20" s="72"/>
      <c r="I20" s="72"/>
      <c r="J20" s="72"/>
      <c r="K20" s="72"/>
      <c r="L20" s="72"/>
      <c r="M20" s="72"/>
      <c r="N20" s="72"/>
      <c r="O20" s="72"/>
      <c r="P20" s="72"/>
      <c r="Q20" s="72"/>
    </row>
    <row r="21" spans="1:17" ht="15.5" x14ac:dyDescent="0.35">
      <c r="A21" s="43"/>
      <c r="B21" s="43"/>
      <c r="C21" s="43"/>
      <c r="D21" s="63"/>
      <c r="E21" s="63"/>
      <c r="F21" s="63"/>
      <c r="G21" s="63"/>
      <c r="H21" s="72"/>
      <c r="I21" s="72"/>
      <c r="J21" s="72"/>
      <c r="K21" s="72"/>
      <c r="L21" s="72"/>
      <c r="M21" s="70"/>
      <c r="N21" s="70"/>
      <c r="O21" s="70"/>
      <c r="P21" s="70"/>
      <c r="Q21" s="70"/>
    </row>
    <row r="23" spans="1:17" ht="20.5" x14ac:dyDescent="0.4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</row>
    <row r="24" spans="1:17" s="39" customFormat="1" ht="18.5" outlineLevel="1" x14ac:dyDescent="0.45">
      <c r="A24" s="13"/>
      <c r="B24" s="16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7" s="39" customFormat="1" ht="18.5" outlineLevel="1" x14ac:dyDescent="0.45">
      <c r="A25" s="13"/>
      <c r="B25" s="13"/>
      <c r="C25" s="13"/>
      <c r="D25" s="13"/>
      <c r="E25" s="13"/>
      <c r="F25" s="42"/>
      <c r="G25" s="13"/>
      <c r="H25" s="43"/>
      <c r="I25" s="43"/>
      <c r="J25" s="43"/>
      <c r="K25" s="43"/>
      <c r="L25" s="43"/>
      <c r="M25" s="40"/>
      <c r="N25" s="40"/>
      <c r="O25" s="40"/>
      <c r="P25" s="40"/>
      <c r="Q25" s="40"/>
    </row>
    <row r="26" spans="1:17" s="39" customFormat="1" ht="18.5" outlineLevel="1" x14ac:dyDescent="0.45">
      <c r="A26" s="13"/>
      <c r="B26" s="13"/>
      <c r="C26" s="13"/>
      <c r="D26" s="13"/>
      <c r="E26" s="13"/>
      <c r="F26" s="42"/>
      <c r="G26" s="13"/>
      <c r="H26" s="43"/>
      <c r="I26" s="43"/>
      <c r="J26" s="43"/>
      <c r="K26" s="43"/>
      <c r="L26" s="43"/>
      <c r="M26" s="40"/>
      <c r="N26" s="40"/>
      <c r="O26" s="40"/>
      <c r="P26" s="40"/>
      <c r="Q26" s="40"/>
    </row>
    <row r="27" spans="1:17" s="39" customFormat="1" ht="18.5" outlineLevel="1" x14ac:dyDescent="0.45">
      <c r="A27" s="13"/>
      <c r="B27" s="13"/>
      <c r="C27" s="13"/>
      <c r="D27" s="17"/>
      <c r="E27" s="17"/>
      <c r="F27" s="44"/>
      <c r="G27" s="17"/>
      <c r="H27" s="45"/>
      <c r="I27" s="45"/>
      <c r="J27" s="45"/>
      <c r="K27" s="45"/>
      <c r="L27" s="45"/>
      <c r="M27" s="40"/>
      <c r="N27" s="40"/>
      <c r="O27" s="40"/>
      <c r="P27" s="40"/>
      <c r="Q27" s="40"/>
    </row>
    <row r="28" spans="1:17" s="39" customFormat="1" ht="18.5" outlineLevel="1" x14ac:dyDescent="0.45">
      <c r="A28" s="13"/>
      <c r="B28" s="16"/>
      <c r="C28" s="13"/>
      <c r="D28" s="13"/>
      <c r="E28" s="13"/>
      <c r="F28" s="42"/>
      <c r="G28" s="13"/>
      <c r="H28" s="43"/>
      <c r="I28" s="43"/>
      <c r="J28" s="43"/>
      <c r="K28" s="43"/>
      <c r="L28" s="43"/>
      <c r="M28" s="40"/>
      <c r="N28" s="40"/>
      <c r="O28" s="40"/>
      <c r="P28" s="40"/>
      <c r="Q28" s="40"/>
    </row>
    <row r="29" spans="1:17" s="39" customFormat="1" ht="18.5" outlineLevel="1" x14ac:dyDescent="0.45">
      <c r="A29" s="13"/>
      <c r="B29" s="13"/>
      <c r="C29" s="13"/>
      <c r="D29" s="13"/>
      <c r="E29" s="13"/>
      <c r="F29" s="42"/>
      <c r="G29" s="13"/>
      <c r="H29" s="43"/>
      <c r="I29" s="43"/>
      <c r="J29" s="43"/>
      <c r="K29" s="43"/>
      <c r="L29" s="43"/>
      <c r="M29" s="40"/>
      <c r="N29" s="40"/>
      <c r="O29" s="40"/>
      <c r="P29" s="40"/>
      <c r="Q29" s="40"/>
    </row>
    <row r="30" spans="1:17" s="39" customFormat="1" ht="18.5" outlineLevel="1" x14ac:dyDescent="0.45">
      <c r="A30" s="13"/>
      <c r="B30" s="13"/>
      <c r="C30" s="13"/>
      <c r="D30" s="13"/>
      <c r="E30" s="13"/>
      <c r="F30" s="42"/>
      <c r="G30" s="13"/>
      <c r="H30" s="43"/>
      <c r="I30" s="43"/>
      <c r="J30" s="43"/>
      <c r="K30" s="43"/>
      <c r="L30" s="43"/>
      <c r="M30" s="40"/>
      <c r="N30" s="40"/>
      <c r="O30" s="40"/>
      <c r="P30" s="40"/>
      <c r="Q30" s="40"/>
    </row>
    <row r="31" spans="1:17" s="39" customFormat="1" ht="18.5" outlineLevel="1" x14ac:dyDescent="0.45">
      <c r="A31" s="13"/>
      <c r="B31" s="13"/>
      <c r="C31" s="13"/>
      <c r="D31" s="17"/>
      <c r="E31" s="17"/>
      <c r="F31" s="44"/>
      <c r="G31" s="17"/>
      <c r="H31" s="45"/>
      <c r="I31" s="45"/>
      <c r="J31" s="45"/>
      <c r="K31" s="45"/>
      <c r="L31" s="45"/>
      <c r="M31" s="40"/>
      <c r="N31" s="40"/>
      <c r="O31" s="40"/>
      <c r="P31" s="40"/>
      <c r="Q31" s="40"/>
    </row>
    <row r="32" spans="1:17" s="39" customFormat="1" ht="18.5" outlineLevel="1" x14ac:dyDescent="0.45">
      <c r="A32" s="13"/>
      <c r="B32" s="13"/>
      <c r="C32" s="13"/>
      <c r="D32" s="13"/>
      <c r="E32" s="13"/>
      <c r="F32" s="42"/>
      <c r="G32" s="13"/>
      <c r="H32" s="43"/>
      <c r="I32" s="43"/>
      <c r="J32" s="43"/>
      <c r="K32" s="43"/>
      <c r="L32" s="43"/>
      <c r="M32" s="40"/>
      <c r="N32" s="40"/>
      <c r="O32" s="40"/>
      <c r="P32" s="40"/>
      <c r="Q32" s="40"/>
    </row>
    <row r="33" spans="1:17" s="39" customFormat="1" ht="18.5" outlineLevel="1" x14ac:dyDescent="0.45">
      <c r="A33" s="13"/>
      <c r="B33" s="13"/>
      <c r="C33" s="13"/>
      <c r="D33" s="17"/>
      <c r="E33" s="17"/>
      <c r="F33" s="44"/>
      <c r="G33" s="17"/>
      <c r="H33" s="45"/>
      <c r="I33" s="45"/>
      <c r="J33" s="45"/>
      <c r="K33" s="45"/>
      <c r="L33" s="45"/>
      <c r="M33" s="40"/>
      <c r="N33" s="40"/>
      <c r="O33" s="40"/>
      <c r="P33" s="40"/>
      <c r="Q33" s="40"/>
    </row>
    <row r="34" spans="1:17" s="39" customFormat="1" ht="18.5" outlineLevel="1" x14ac:dyDescent="0.45">
      <c r="A34" s="13"/>
      <c r="B34" s="13"/>
      <c r="C34" s="13"/>
      <c r="D34" s="13"/>
      <c r="E34" s="13"/>
      <c r="F34" s="42"/>
      <c r="G34" s="13"/>
      <c r="H34" s="43"/>
      <c r="I34" s="43"/>
      <c r="J34" s="43"/>
      <c r="K34" s="43"/>
      <c r="L34" s="43"/>
      <c r="M34" s="40"/>
      <c r="N34" s="40"/>
      <c r="O34" s="40"/>
      <c r="P34" s="40"/>
      <c r="Q34" s="40"/>
    </row>
    <row r="35" spans="1:17" s="39" customFormat="1" ht="18.5" outlineLevel="1" x14ac:dyDescent="0.45">
      <c r="A35" s="13"/>
      <c r="B35" s="13"/>
      <c r="C35" s="13"/>
      <c r="D35" s="13"/>
      <c r="E35" s="13"/>
      <c r="F35" s="42"/>
      <c r="G35" s="13"/>
      <c r="H35" s="43"/>
      <c r="I35" s="43"/>
      <c r="J35" s="43"/>
      <c r="K35" s="43"/>
      <c r="L35" s="43"/>
      <c r="M35" s="40"/>
      <c r="N35" s="40"/>
      <c r="O35" s="40"/>
      <c r="P35" s="40"/>
      <c r="Q35" s="40"/>
    </row>
    <row r="36" spans="1:17" s="39" customFormat="1" ht="18.5" outlineLevel="1" x14ac:dyDescent="0.45">
      <c r="A36" s="13"/>
      <c r="B36" s="13"/>
      <c r="C36" s="13"/>
      <c r="D36" s="17"/>
      <c r="E36" s="17"/>
      <c r="F36" s="44"/>
      <c r="G36" s="17"/>
      <c r="H36" s="45"/>
      <c r="I36" s="45"/>
      <c r="J36" s="45"/>
      <c r="K36" s="45"/>
      <c r="L36" s="45"/>
      <c r="M36" s="40"/>
      <c r="N36" s="40"/>
      <c r="O36" s="40"/>
      <c r="P36" s="40"/>
      <c r="Q36" s="40"/>
    </row>
    <row r="37" spans="1:17" s="39" customFormat="1" ht="18.5" outlineLevel="1" x14ac:dyDescent="0.45">
      <c r="A37" s="13"/>
      <c r="B37" s="13"/>
      <c r="C37" s="13"/>
      <c r="D37" s="13"/>
      <c r="E37" s="13"/>
      <c r="F37" s="42"/>
      <c r="G37" s="13"/>
      <c r="H37" s="43"/>
      <c r="I37" s="43"/>
      <c r="J37" s="43"/>
      <c r="K37" s="43"/>
      <c r="L37" s="43"/>
      <c r="M37" s="40"/>
      <c r="N37" s="40"/>
      <c r="O37" s="40"/>
      <c r="P37" s="40"/>
      <c r="Q37" s="40"/>
    </row>
    <row r="38" spans="1:17" s="39" customFormat="1" ht="18.5" outlineLevel="1" x14ac:dyDescent="0.45">
      <c r="A38" s="13"/>
      <c r="B38" s="13"/>
      <c r="C38" s="13"/>
      <c r="D38" s="17"/>
      <c r="E38" s="17"/>
      <c r="F38" s="44"/>
      <c r="G38" s="17"/>
      <c r="H38" s="45"/>
      <c r="I38" s="45"/>
      <c r="J38" s="45"/>
      <c r="K38" s="45"/>
      <c r="L38" s="45"/>
      <c r="M38" s="40"/>
      <c r="N38" s="40"/>
      <c r="O38" s="40"/>
      <c r="P38" s="40"/>
      <c r="Q38" s="40"/>
    </row>
    <row r="39" spans="1:17" s="39" customFormat="1" ht="18.5" outlineLevel="1" x14ac:dyDescent="0.45">
      <c r="H39" s="41"/>
      <c r="I39" s="41"/>
      <c r="J39" s="41"/>
      <c r="K39" s="41"/>
      <c r="L39" s="41"/>
      <c r="M39" s="40"/>
      <c r="N39" s="40"/>
      <c r="O39" s="40"/>
      <c r="P39" s="40"/>
      <c r="Q39" s="40"/>
    </row>
    <row r="40" spans="1:17" s="39" customFormat="1" ht="18.5" x14ac:dyDescent="0.45">
      <c r="H40" s="41"/>
      <c r="I40" s="41"/>
      <c r="J40" s="41"/>
      <c r="K40" s="41"/>
      <c r="L40" s="41"/>
      <c r="M40" s="40"/>
      <c r="N40" s="40"/>
      <c r="O40" s="40"/>
      <c r="P40" s="40"/>
      <c r="Q40" s="40"/>
    </row>
    <row r="41" spans="1:17" s="39" customFormat="1" ht="20.5" x14ac:dyDescent="0.45">
      <c r="A41" s="38"/>
      <c r="B41" s="38"/>
      <c r="C41" s="38"/>
      <c r="D41" s="38"/>
      <c r="E41" s="38"/>
      <c r="F41" s="38"/>
      <c r="G41" s="38"/>
      <c r="H41" s="38"/>
      <c r="I41" s="38"/>
      <c r="J41" s="38"/>
      <c r="K41" s="38"/>
      <c r="L41" s="38"/>
      <c r="M41" s="38"/>
      <c r="N41" s="38"/>
      <c r="O41" s="38"/>
      <c r="P41" s="38"/>
      <c r="Q41" s="38"/>
    </row>
    <row r="42" spans="1:17" s="39" customFormat="1" ht="18.5" x14ac:dyDescent="0.45">
      <c r="H42" s="41"/>
      <c r="I42" s="41"/>
      <c r="J42" s="41"/>
      <c r="K42" s="41"/>
      <c r="L42" s="41"/>
      <c r="M42" s="40"/>
      <c r="N42" s="40"/>
      <c r="O42" s="40"/>
      <c r="P42" s="40"/>
      <c r="Q42" s="40"/>
    </row>
    <row r="43" spans="1:17" s="39" customFormat="1" ht="18.5" outlineLevel="1" x14ac:dyDescent="0.45">
      <c r="A43" s="13"/>
      <c r="B43" s="16"/>
      <c r="C43" s="13"/>
      <c r="D43" s="13"/>
      <c r="E43" s="13"/>
      <c r="F43" s="42"/>
      <c r="G43" s="13"/>
      <c r="H43" s="43"/>
      <c r="I43" s="43"/>
      <c r="J43" s="43"/>
      <c r="K43" s="43"/>
      <c r="L43" s="43"/>
      <c r="M43" s="40"/>
      <c r="N43" s="40"/>
      <c r="O43" s="40"/>
      <c r="P43" s="40"/>
      <c r="Q43" s="40"/>
    </row>
    <row r="44" spans="1:17" s="39" customFormat="1" ht="18.5" outlineLevel="1" x14ac:dyDescent="0.45">
      <c r="A44" s="13"/>
      <c r="B44" s="13"/>
      <c r="C44" s="16"/>
      <c r="D44" s="13"/>
      <c r="E44" s="13"/>
      <c r="F44" s="13"/>
      <c r="G44" s="13"/>
      <c r="H44" s="43"/>
      <c r="I44" s="43"/>
      <c r="J44" s="43"/>
      <c r="K44" s="43"/>
      <c r="L44" s="43"/>
      <c r="M44" s="40"/>
      <c r="N44" s="40"/>
      <c r="O44" s="40"/>
      <c r="P44" s="40"/>
      <c r="Q44" s="40"/>
    </row>
    <row r="45" spans="1:17" s="39" customFormat="1" ht="18.5" outlineLevel="1" x14ac:dyDescent="0.45">
      <c r="A45" s="13"/>
      <c r="B45" s="13"/>
      <c r="C45" s="13"/>
      <c r="D45" s="13"/>
      <c r="E45" s="13"/>
      <c r="F45" s="42"/>
      <c r="G45" s="13"/>
      <c r="H45" s="43"/>
      <c r="I45" s="43"/>
      <c r="J45" s="43"/>
      <c r="K45" s="43"/>
      <c r="L45" s="43"/>
      <c r="M45" s="40"/>
      <c r="N45" s="40"/>
      <c r="O45" s="40"/>
      <c r="P45" s="40"/>
      <c r="Q45" s="40"/>
    </row>
    <row r="46" spans="1:17" s="39" customFormat="1" ht="18.5" outlineLevel="1" x14ac:dyDescent="0.45">
      <c r="A46" s="13"/>
      <c r="B46" s="13"/>
      <c r="C46" s="13"/>
      <c r="D46" s="13"/>
      <c r="E46" s="13"/>
      <c r="F46" s="42"/>
      <c r="G46" s="13"/>
      <c r="H46" s="43"/>
      <c r="I46" s="43"/>
      <c r="J46" s="43"/>
      <c r="K46" s="43"/>
      <c r="L46" s="43"/>
      <c r="M46" s="40"/>
      <c r="N46" s="40"/>
      <c r="O46" s="40"/>
      <c r="P46" s="40"/>
      <c r="Q46" s="40"/>
    </row>
    <row r="47" spans="1:17" s="39" customFormat="1" ht="18.5" outlineLevel="1" x14ac:dyDescent="0.45">
      <c r="A47" s="13"/>
      <c r="B47" s="13"/>
      <c r="C47" s="13"/>
      <c r="D47" s="13"/>
      <c r="E47" s="13"/>
      <c r="F47" s="42"/>
      <c r="G47" s="13"/>
      <c r="H47" s="43"/>
      <c r="I47" s="43"/>
      <c r="J47" s="43"/>
      <c r="K47" s="43"/>
      <c r="L47" s="43"/>
      <c r="M47" s="40"/>
      <c r="N47" s="40"/>
      <c r="O47" s="40"/>
      <c r="P47" s="40"/>
      <c r="Q47" s="40"/>
    </row>
    <row r="48" spans="1:17" s="39" customFormat="1" ht="18.5" outlineLevel="1" x14ac:dyDescent="0.45">
      <c r="A48" s="13"/>
      <c r="B48" s="13"/>
      <c r="C48" s="13"/>
      <c r="D48" s="13"/>
      <c r="E48" s="13"/>
      <c r="F48" s="42"/>
      <c r="G48" s="13"/>
      <c r="H48" s="43"/>
      <c r="I48" s="43"/>
      <c r="J48" s="43"/>
      <c r="K48" s="43"/>
      <c r="L48" s="43"/>
      <c r="M48" s="40"/>
      <c r="N48" s="40"/>
      <c r="O48" s="40"/>
      <c r="P48" s="40"/>
      <c r="Q48" s="40"/>
    </row>
    <row r="49" spans="1:17" s="39" customFormat="1" ht="18.5" outlineLevel="1" x14ac:dyDescent="0.45">
      <c r="A49" s="13"/>
      <c r="B49" s="13"/>
      <c r="C49" s="13"/>
      <c r="D49" s="13"/>
      <c r="E49" s="13"/>
      <c r="F49" s="42"/>
      <c r="G49" s="13"/>
      <c r="H49" s="43"/>
      <c r="I49" s="43"/>
      <c r="J49" s="43"/>
      <c r="K49" s="43"/>
      <c r="L49" s="43"/>
      <c r="M49" s="40"/>
      <c r="N49" s="40"/>
      <c r="O49" s="40"/>
      <c r="P49" s="40"/>
      <c r="Q49" s="40"/>
    </row>
    <row r="50" spans="1:17" s="39" customFormat="1" ht="18.5" outlineLevel="1" x14ac:dyDescent="0.45">
      <c r="A50" s="13"/>
      <c r="B50" s="13"/>
      <c r="C50" s="13"/>
      <c r="D50" s="13"/>
      <c r="E50" s="13"/>
      <c r="F50" s="42"/>
      <c r="G50" s="13"/>
      <c r="H50" s="43"/>
      <c r="I50" s="43"/>
      <c r="J50" s="43"/>
      <c r="K50" s="43"/>
      <c r="L50" s="43"/>
      <c r="M50" s="40"/>
      <c r="N50" s="40"/>
      <c r="O50" s="40"/>
      <c r="P50" s="40"/>
      <c r="Q50" s="40"/>
    </row>
    <row r="51" spans="1:17" s="39" customFormat="1" ht="18.5" outlineLevel="1" x14ac:dyDescent="0.45">
      <c r="A51" s="13"/>
      <c r="B51" s="13"/>
      <c r="C51" s="16"/>
      <c r="D51" s="13"/>
      <c r="E51" s="13"/>
      <c r="F51" s="42"/>
      <c r="G51" s="13"/>
      <c r="H51" s="43"/>
      <c r="I51" s="43"/>
      <c r="J51" s="43"/>
      <c r="K51" s="43"/>
      <c r="L51" s="43"/>
      <c r="M51" s="40"/>
      <c r="N51" s="40"/>
      <c r="O51" s="40"/>
      <c r="P51" s="40"/>
      <c r="Q51" s="40"/>
    </row>
    <row r="52" spans="1:17" s="39" customFormat="1" ht="18.5" outlineLevel="1" x14ac:dyDescent="0.45">
      <c r="A52" s="13"/>
      <c r="B52" s="13"/>
      <c r="C52" s="13"/>
      <c r="D52" s="13"/>
      <c r="E52" s="13"/>
      <c r="F52" s="42"/>
      <c r="G52" s="13"/>
      <c r="H52" s="43"/>
      <c r="I52" s="43"/>
      <c r="J52" s="43"/>
      <c r="K52" s="43"/>
      <c r="L52" s="43"/>
      <c r="M52" s="40"/>
      <c r="N52" s="40"/>
      <c r="O52" s="40"/>
      <c r="P52" s="40"/>
      <c r="Q52" s="40"/>
    </row>
    <row r="53" spans="1:17" s="39" customFormat="1" ht="18.5" outlineLevel="1" x14ac:dyDescent="0.45">
      <c r="A53" s="13"/>
      <c r="B53" s="13"/>
      <c r="C53" s="13"/>
      <c r="D53" s="13"/>
      <c r="E53" s="13"/>
      <c r="F53" s="42"/>
      <c r="G53" s="13"/>
      <c r="H53" s="43"/>
      <c r="I53" s="43"/>
      <c r="J53" s="43"/>
      <c r="K53" s="43"/>
      <c r="L53" s="43"/>
      <c r="M53" s="40"/>
      <c r="N53" s="40"/>
      <c r="O53" s="40"/>
      <c r="P53" s="40"/>
      <c r="Q53" s="40"/>
    </row>
    <row r="54" spans="1:17" s="39" customFormat="1" ht="18.5" outlineLevel="1" x14ac:dyDescent="0.45">
      <c r="A54" s="13"/>
      <c r="B54" s="13"/>
      <c r="C54" s="13"/>
      <c r="D54" s="13"/>
      <c r="E54" s="13"/>
      <c r="F54" s="42"/>
      <c r="G54" s="13"/>
      <c r="H54" s="43"/>
      <c r="I54" s="43"/>
      <c r="J54" s="43"/>
      <c r="K54" s="43"/>
      <c r="L54" s="43"/>
      <c r="M54" s="40"/>
      <c r="N54" s="40"/>
      <c r="O54" s="40"/>
      <c r="P54" s="40"/>
      <c r="Q54" s="40"/>
    </row>
    <row r="55" spans="1:17" s="39" customFormat="1" ht="18.5" outlineLevel="1" x14ac:dyDescent="0.45">
      <c r="A55" s="13"/>
      <c r="B55" s="13"/>
      <c r="C55" s="13"/>
      <c r="D55" s="13"/>
      <c r="E55" s="13"/>
      <c r="F55" s="42"/>
      <c r="G55" s="13"/>
      <c r="H55" s="43"/>
      <c r="I55" s="43"/>
      <c r="J55" s="43"/>
      <c r="K55" s="43"/>
      <c r="L55" s="43"/>
      <c r="M55" s="40"/>
      <c r="N55" s="40"/>
      <c r="O55" s="40"/>
      <c r="P55" s="40"/>
      <c r="Q55" s="40"/>
    </row>
    <row r="56" spans="1:17" s="39" customFormat="1" ht="19" outlineLevel="1" thickBot="1" x14ac:dyDescent="0.5">
      <c r="A56" s="13"/>
      <c r="B56" s="13"/>
      <c r="C56" s="13"/>
      <c r="D56" s="50"/>
      <c r="E56" s="50"/>
      <c r="F56" s="51"/>
      <c r="G56" s="50"/>
      <c r="H56" s="52"/>
      <c r="I56" s="52"/>
      <c r="J56" s="52"/>
      <c r="K56" s="52"/>
      <c r="L56" s="52"/>
      <c r="M56" s="40"/>
      <c r="N56" s="40"/>
      <c r="O56" s="40"/>
      <c r="P56" s="40"/>
      <c r="Q56" s="40"/>
    </row>
    <row r="57" spans="1:17" s="39" customFormat="1" ht="19" outlineLevel="1" thickTop="1" x14ac:dyDescent="0.45">
      <c r="A57" s="13"/>
      <c r="B57" s="13"/>
      <c r="C57" s="13"/>
      <c r="D57" s="13"/>
      <c r="E57" s="13"/>
      <c r="G57" s="13"/>
      <c r="H57" s="46"/>
      <c r="I57" s="46"/>
      <c r="J57" s="46"/>
      <c r="K57" s="46"/>
      <c r="L57" s="46"/>
      <c r="M57" s="40"/>
      <c r="N57" s="40"/>
      <c r="O57" s="40"/>
      <c r="P57" s="40"/>
      <c r="Q57" s="40"/>
    </row>
    <row r="58" spans="1:17" s="39" customFormat="1" ht="18.5" outlineLevel="1" x14ac:dyDescent="0.45">
      <c r="A58" s="13"/>
      <c r="B58" s="16"/>
      <c r="C58" s="13"/>
      <c r="D58" s="13"/>
      <c r="E58" s="13"/>
      <c r="F58" s="13"/>
      <c r="G58" s="13"/>
      <c r="H58" s="46"/>
      <c r="I58" s="46"/>
      <c r="J58" s="46"/>
      <c r="K58" s="46"/>
      <c r="L58" s="46"/>
      <c r="M58" s="40"/>
      <c r="N58" s="40"/>
      <c r="O58" s="40"/>
      <c r="P58" s="40"/>
      <c r="Q58" s="40"/>
    </row>
    <row r="59" spans="1:17" s="39" customFormat="1" ht="18.5" outlineLevel="1" x14ac:dyDescent="0.45">
      <c r="A59" s="13"/>
      <c r="B59" s="13"/>
      <c r="C59" s="16"/>
      <c r="D59" s="13"/>
      <c r="E59" s="13"/>
      <c r="F59" s="13"/>
      <c r="G59" s="13"/>
      <c r="H59" s="46"/>
      <c r="I59" s="46"/>
      <c r="J59" s="46"/>
      <c r="K59" s="46"/>
      <c r="L59" s="46"/>
      <c r="M59" s="40"/>
      <c r="N59" s="40"/>
      <c r="O59" s="40"/>
      <c r="P59" s="40"/>
      <c r="Q59" s="40"/>
    </row>
    <row r="60" spans="1:17" s="39" customFormat="1" ht="18.5" outlineLevel="1" x14ac:dyDescent="0.45">
      <c r="A60" s="13"/>
      <c r="B60" s="13"/>
      <c r="C60" s="13"/>
      <c r="D60" s="13"/>
      <c r="E60" s="13"/>
      <c r="F60" s="42"/>
      <c r="G60" s="13"/>
      <c r="H60" s="43"/>
      <c r="I60" s="43"/>
      <c r="J60" s="43"/>
      <c r="K60" s="43"/>
      <c r="L60" s="43"/>
      <c r="M60" s="40"/>
      <c r="N60" s="40"/>
      <c r="O60" s="40"/>
      <c r="P60" s="40"/>
      <c r="Q60" s="40"/>
    </row>
    <row r="61" spans="1:17" s="39" customFormat="1" ht="18.5" outlineLevel="1" x14ac:dyDescent="0.45">
      <c r="A61" s="13"/>
      <c r="B61" s="13"/>
      <c r="C61" s="13"/>
      <c r="D61" s="13"/>
      <c r="E61" s="13"/>
      <c r="F61" s="42"/>
      <c r="G61" s="13"/>
      <c r="H61" s="43"/>
      <c r="I61" s="43"/>
      <c r="J61" s="43"/>
      <c r="K61" s="43"/>
      <c r="L61" s="43"/>
      <c r="M61" s="40"/>
      <c r="N61" s="40"/>
      <c r="O61" s="40"/>
      <c r="P61" s="40"/>
      <c r="Q61" s="40"/>
    </row>
    <row r="62" spans="1:17" s="39" customFormat="1" ht="18.5" outlineLevel="1" x14ac:dyDescent="0.45">
      <c r="A62" s="13"/>
      <c r="B62" s="13"/>
      <c r="C62" s="13"/>
      <c r="D62" s="13"/>
      <c r="E62" s="13"/>
      <c r="F62" s="42"/>
      <c r="G62" s="13"/>
      <c r="H62" s="43"/>
      <c r="I62" s="43"/>
      <c r="J62" s="43"/>
      <c r="K62" s="43"/>
      <c r="L62" s="43"/>
      <c r="M62" s="40"/>
      <c r="N62" s="40"/>
      <c r="O62" s="40"/>
      <c r="P62" s="40"/>
      <c r="Q62" s="40"/>
    </row>
    <row r="63" spans="1:17" s="39" customFormat="1" ht="18.5" outlineLevel="1" x14ac:dyDescent="0.45">
      <c r="A63" s="13"/>
      <c r="B63" s="13"/>
      <c r="C63" s="13"/>
      <c r="D63" s="13"/>
      <c r="E63" s="13"/>
      <c r="F63" s="42"/>
      <c r="G63" s="13"/>
      <c r="H63" s="43"/>
      <c r="I63" s="43"/>
      <c r="J63" s="43"/>
      <c r="K63" s="43"/>
      <c r="L63" s="43"/>
      <c r="M63" s="40"/>
      <c r="N63" s="40"/>
      <c r="O63" s="40"/>
      <c r="P63" s="40"/>
      <c r="Q63" s="40"/>
    </row>
    <row r="64" spans="1:17" s="39" customFormat="1" ht="18.5" outlineLevel="1" x14ac:dyDescent="0.45">
      <c r="A64" s="13"/>
      <c r="B64" s="13"/>
      <c r="C64" s="13"/>
      <c r="D64" s="13"/>
      <c r="E64" s="13"/>
      <c r="F64" s="42"/>
      <c r="G64" s="13"/>
      <c r="H64" s="43"/>
      <c r="I64" s="43"/>
      <c r="J64" s="43"/>
      <c r="K64" s="43"/>
      <c r="L64" s="43"/>
      <c r="M64" s="40"/>
      <c r="N64" s="40"/>
      <c r="O64" s="40"/>
      <c r="P64" s="40"/>
      <c r="Q64" s="40"/>
    </row>
    <row r="65" spans="1:17" s="39" customFormat="1" ht="18.5" outlineLevel="1" x14ac:dyDescent="0.45">
      <c r="A65" s="13"/>
      <c r="B65" s="13"/>
      <c r="C65" s="13"/>
      <c r="D65" s="17"/>
      <c r="E65" s="17"/>
      <c r="F65" s="44"/>
      <c r="G65" s="17"/>
      <c r="H65" s="45"/>
      <c r="I65" s="45"/>
      <c r="J65" s="45"/>
      <c r="K65" s="45"/>
      <c r="L65" s="45"/>
      <c r="M65" s="40"/>
      <c r="N65" s="40"/>
      <c r="O65" s="40"/>
      <c r="P65" s="40"/>
      <c r="Q65" s="40"/>
    </row>
    <row r="66" spans="1:17" s="39" customFormat="1" ht="18.5" outlineLevel="1" x14ac:dyDescent="0.45">
      <c r="A66" s="13"/>
      <c r="B66" s="13"/>
      <c r="C66" s="16"/>
      <c r="D66" s="13"/>
      <c r="E66" s="13"/>
      <c r="F66" s="42"/>
      <c r="G66" s="13"/>
      <c r="H66" s="46"/>
      <c r="I66" s="46"/>
      <c r="J66" s="46"/>
      <c r="K66" s="46"/>
      <c r="L66" s="46"/>
      <c r="M66" s="40"/>
      <c r="N66" s="40"/>
      <c r="O66" s="40"/>
      <c r="P66" s="40"/>
      <c r="Q66" s="40"/>
    </row>
    <row r="67" spans="1:17" s="39" customFormat="1" ht="18.5" outlineLevel="1" x14ac:dyDescent="0.45">
      <c r="A67" s="13"/>
      <c r="B67" s="13"/>
      <c r="C67" s="13"/>
      <c r="D67" s="13"/>
      <c r="E67" s="13"/>
      <c r="F67" s="42"/>
      <c r="G67" s="13"/>
      <c r="H67" s="43"/>
      <c r="I67" s="43"/>
      <c r="J67" s="43"/>
      <c r="K67" s="43"/>
      <c r="L67" s="43"/>
      <c r="M67" s="40"/>
      <c r="N67" s="40"/>
      <c r="O67" s="40"/>
      <c r="P67" s="40"/>
      <c r="Q67" s="40"/>
    </row>
    <row r="68" spans="1:17" s="39" customFormat="1" ht="18.5" outlineLevel="1" x14ac:dyDescent="0.45">
      <c r="A68" s="13"/>
      <c r="B68" s="13"/>
      <c r="C68" s="13"/>
      <c r="D68" s="13"/>
      <c r="E68" s="13"/>
      <c r="F68" s="42"/>
      <c r="G68" s="13"/>
      <c r="H68" s="43"/>
      <c r="I68" s="43"/>
      <c r="J68" s="43"/>
      <c r="K68" s="43"/>
      <c r="L68" s="43"/>
      <c r="M68" s="40"/>
      <c r="N68" s="40"/>
      <c r="O68" s="40"/>
      <c r="P68" s="40"/>
      <c r="Q68" s="40"/>
    </row>
    <row r="69" spans="1:17" s="39" customFormat="1" ht="18.5" outlineLevel="1" x14ac:dyDescent="0.45">
      <c r="A69" s="13"/>
      <c r="B69" s="13"/>
      <c r="C69" s="13"/>
      <c r="D69" s="47"/>
      <c r="E69" s="47"/>
      <c r="F69" s="48"/>
      <c r="G69" s="47"/>
      <c r="H69" s="49"/>
      <c r="I69" s="49"/>
      <c r="J69" s="49"/>
      <c r="K69" s="49"/>
      <c r="L69" s="49"/>
      <c r="M69" s="40"/>
      <c r="N69" s="40"/>
      <c r="O69" s="40"/>
      <c r="P69" s="40"/>
      <c r="Q69" s="40"/>
    </row>
    <row r="70" spans="1:17" s="39" customFormat="1" ht="18.5" outlineLevel="1" x14ac:dyDescent="0.45">
      <c r="A70" s="13"/>
      <c r="B70" s="13"/>
      <c r="C70" s="13"/>
      <c r="D70" s="13"/>
      <c r="E70" s="13"/>
      <c r="F70" s="42"/>
      <c r="G70" s="13"/>
      <c r="H70" s="43"/>
      <c r="I70" s="43"/>
      <c r="J70" s="43"/>
      <c r="K70" s="43"/>
      <c r="L70" s="43"/>
      <c r="M70" s="40"/>
      <c r="N70" s="40"/>
      <c r="O70" s="40"/>
      <c r="P70" s="40"/>
      <c r="Q70" s="40"/>
    </row>
    <row r="71" spans="1:17" s="39" customFormat="1" ht="19" outlineLevel="1" thickBot="1" x14ac:dyDescent="0.5">
      <c r="A71" s="13"/>
      <c r="B71" s="13"/>
      <c r="C71" s="13"/>
      <c r="D71" s="50"/>
      <c r="E71" s="50"/>
      <c r="F71" s="51"/>
      <c r="G71" s="50"/>
      <c r="H71" s="52"/>
      <c r="I71" s="52"/>
      <c r="J71" s="52"/>
      <c r="K71" s="52"/>
      <c r="L71" s="52"/>
      <c r="M71" s="40"/>
      <c r="N71" s="40"/>
      <c r="O71" s="40"/>
      <c r="P71" s="40"/>
      <c r="Q71" s="40"/>
    </row>
    <row r="72" spans="1:17" s="39" customFormat="1" ht="19" outlineLevel="1" thickTop="1" x14ac:dyDescent="0.45">
      <c r="A72" s="13"/>
      <c r="B72" s="13"/>
      <c r="C72" s="13"/>
      <c r="D72" s="13"/>
      <c r="E72" s="13"/>
      <c r="F72" s="13"/>
      <c r="G72" s="13"/>
      <c r="H72" s="43"/>
      <c r="I72" s="43"/>
      <c r="J72" s="43"/>
      <c r="K72" s="43"/>
      <c r="L72" s="43"/>
      <c r="M72" s="40"/>
      <c r="N72" s="40"/>
      <c r="O72" s="40"/>
      <c r="P72" s="40"/>
      <c r="Q72" s="40"/>
    </row>
    <row r="73" spans="1:17" s="39" customFormat="1" ht="18.5" outlineLevel="1" x14ac:dyDescent="0.45">
      <c r="A73" s="13"/>
      <c r="B73" s="13"/>
      <c r="C73" s="13"/>
      <c r="D73" s="13"/>
      <c r="E73" s="13"/>
      <c r="F73" s="13"/>
      <c r="G73" s="13"/>
      <c r="H73" s="43"/>
      <c r="I73" s="43"/>
      <c r="J73" s="43"/>
      <c r="K73" s="43"/>
      <c r="L73" s="43"/>
      <c r="M73" s="40"/>
      <c r="N73" s="40"/>
      <c r="O73" s="40"/>
      <c r="P73" s="40"/>
      <c r="Q73" s="40"/>
    </row>
    <row r="74" spans="1:17" s="39" customFormat="1" ht="18.5" outlineLevel="1" x14ac:dyDescent="0.45">
      <c r="A74" s="13"/>
      <c r="B74" s="13"/>
      <c r="C74" s="13"/>
      <c r="D74" s="13"/>
      <c r="E74" s="13"/>
      <c r="F74" s="13"/>
      <c r="G74" s="13"/>
      <c r="H74" s="43"/>
      <c r="I74" s="43"/>
      <c r="J74" s="43"/>
      <c r="K74" s="43"/>
      <c r="L74" s="43"/>
      <c r="M74" s="40"/>
      <c r="N74" s="40"/>
      <c r="O74" s="40"/>
      <c r="P74" s="40"/>
      <c r="Q74" s="40"/>
    </row>
    <row r="75" spans="1:17" s="39" customFormat="1" ht="18.5" x14ac:dyDescent="0.45">
      <c r="A75" s="13"/>
      <c r="B75" s="13"/>
      <c r="C75" s="13"/>
      <c r="D75" s="13"/>
      <c r="E75" s="13"/>
      <c r="F75" s="13"/>
      <c r="G75" s="13"/>
      <c r="H75" s="43"/>
      <c r="I75" s="43"/>
      <c r="J75" s="43"/>
      <c r="K75" s="43"/>
      <c r="L75" s="43"/>
      <c r="M75" s="40"/>
      <c r="N75" s="40"/>
      <c r="O75" s="40"/>
      <c r="P75" s="40"/>
      <c r="Q75" s="40"/>
    </row>
    <row r="76" spans="1:17" s="39" customFormat="1" ht="18.5" x14ac:dyDescent="0.45">
      <c r="A76" s="13"/>
      <c r="B76" s="13"/>
      <c r="C76" s="13"/>
      <c r="D76" s="13"/>
      <c r="E76" s="13"/>
      <c r="F76" s="13"/>
      <c r="G76" s="13"/>
      <c r="H76" s="43"/>
      <c r="I76" s="43"/>
      <c r="J76" s="43"/>
      <c r="K76" s="43"/>
      <c r="L76" s="43"/>
      <c r="M76" s="40"/>
      <c r="N76" s="40"/>
      <c r="O76" s="40"/>
      <c r="P76" s="40"/>
      <c r="Q76" s="40"/>
    </row>
    <row r="77" spans="1:17" s="39" customFormat="1" ht="20.5" x14ac:dyDescent="0.45">
      <c r="A77" s="38"/>
      <c r="B77" s="38"/>
      <c r="C77" s="38"/>
      <c r="D77" s="38"/>
      <c r="E77" s="38"/>
      <c r="F77" s="38"/>
      <c r="G77" s="38"/>
      <c r="H77" s="38"/>
      <c r="I77" s="38"/>
      <c r="J77" s="38"/>
      <c r="K77" s="38"/>
      <c r="L77" s="38"/>
      <c r="M77" s="38"/>
      <c r="N77" s="38"/>
      <c r="O77" s="38"/>
      <c r="P77" s="38"/>
      <c r="Q77" s="38"/>
    </row>
    <row r="78" spans="1:17" s="39" customFormat="1" ht="18.5" x14ac:dyDescent="0.45">
      <c r="A78" s="13"/>
      <c r="B78" s="13"/>
      <c r="C78" s="13"/>
      <c r="D78" s="13"/>
      <c r="E78" s="13"/>
      <c r="F78" s="13"/>
      <c r="G78" s="13"/>
      <c r="H78" s="43"/>
      <c r="I78" s="43"/>
      <c r="J78" s="43"/>
      <c r="K78" s="43"/>
      <c r="L78" s="43"/>
      <c r="M78" s="40"/>
      <c r="N78" s="40"/>
      <c r="O78" s="40"/>
      <c r="P78" s="40"/>
      <c r="Q78" s="40"/>
    </row>
    <row r="79" spans="1:17" s="39" customFormat="1" ht="18.5" outlineLevel="1" x14ac:dyDescent="0.45">
      <c r="A79" s="13"/>
      <c r="B79" s="13"/>
      <c r="C79" s="13"/>
      <c r="D79" s="13"/>
      <c r="E79" s="13"/>
      <c r="F79" s="13"/>
      <c r="G79" s="13"/>
      <c r="H79" s="43"/>
      <c r="I79" s="43"/>
      <c r="J79" s="43"/>
      <c r="K79" s="43"/>
      <c r="L79" s="43"/>
      <c r="M79" s="40"/>
      <c r="N79" s="40"/>
      <c r="O79" s="40"/>
      <c r="P79" s="40"/>
      <c r="Q79" s="40"/>
    </row>
    <row r="80" spans="1:17" s="39" customFormat="1" ht="18.5" outlineLevel="1" x14ac:dyDescent="0.45">
      <c r="A80" s="13"/>
      <c r="B80" s="13"/>
      <c r="C80" s="13"/>
      <c r="D80" s="13"/>
      <c r="E80" s="13"/>
      <c r="F80" s="42"/>
      <c r="G80" s="13"/>
      <c r="H80" s="43"/>
      <c r="I80" s="43"/>
      <c r="J80" s="43"/>
      <c r="K80" s="43"/>
      <c r="L80" s="43"/>
      <c r="M80" s="40"/>
      <c r="N80" s="40"/>
      <c r="O80" s="40"/>
      <c r="P80" s="40"/>
      <c r="Q80" s="40"/>
    </row>
    <row r="81" spans="1:17" s="39" customFormat="1" ht="18.5" outlineLevel="1" x14ac:dyDescent="0.45">
      <c r="A81" s="13"/>
      <c r="B81" s="13"/>
      <c r="C81" s="13"/>
      <c r="D81" s="13"/>
      <c r="E81" s="13"/>
      <c r="F81" s="42"/>
      <c r="G81" s="13"/>
      <c r="H81" s="43"/>
      <c r="I81" s="43"/>
      <c r="J81" s="43"/>
      <c r="K81" s="43"/>
      <c r="L81" s="43"/>
      <c r="M81" s="40"/>
      <c r="N81" s="40"/>
      <c r="O81" s="40"/>
      <c r="P81" s="40"/>
      <c r="Q81" s="40"/>
    </row>
    <row r="82" spans="1:17" s="39" customFormat="1" ht="18.5" outlineLevel="1" x14ac:dyDescent="0.45">
      <c r="A82" s="13"/>
      <c r="B82" s="13"/>
      <c r="C82" s="13"/>
      <c r="D82" s="13"/>
      <c r="E82" s="13"/>
      <c r="F82" s="42"/>
      <c r="G82" s="13"/>
      <c r="H82" s="43"/>
      <c r="I82" s="43"/>
      <c r="J82" s="43"/>
      <c r="K82" s="43"/>
      <c r="L82" s="43"/>
    </row>
    <row r="83" spans="1:17" s="39" customFormat="1" ht="18.5" outlineLevel="1" x14ac:dyDescent="0.45">
      <c r="A83" s="13"/>
      <c r="B83" s="13"/>
      <c r="C83" s="13"/>
      <c r="D83" s="13"/>
      <c r="E83" s="13"/>
      <c r="F83" s="42"/>
      <c r="G83" s="13"/>
      <c r="H83" s="64"/>
      <c r="I83" s="64"/>
      <c r="J83" s="64"/>
      <c r="K83" s="64"/>
      <c r="L83" s="64"/>
    </row>
    <row r="84" spans="1:17" s="39" customFormat="1" ht="18.5" outlineLevel="1" x14ac:dyDescent="0.45">
      <c r="A84" s="13"/>
      <c r="B84" s="13"/>
      <c r="C84" s="13"/>
      <c r="D84" s="60"/>
      <c r="E84" s="60"/>
      <c r="F84" s="61"/>
      <c r="G84" s="60"/>
      <c r="H84" s="62"/>
      <c r="I84" s="62"/>
      <c r="J84" s="62"/>
      <c r="K84" s="62"/>
      <c r="L84" s="62"/>
    </row>
    <row r="85" spans="1:17" s="39" customFormat="1" ht="18.5" outlineLevel="1" x14ac:dyDescent="0.45">
      <c r="A85" s="13"/>
      <c r="B85" s="13"/>
      <c r="C85" s="13"/>
      <c r="D85" s="13"/>
      <c r="E85" s="13"/>
      <c r="F85" s="42"/>
      <c r="G85" s="13"/>
      <c r="H85" s="43"/>
      <c r="I85" s="43"/>
      <c r="J85" s="43"/>
      <c r="K85" s="43"/>
      <c r="L85" s="43"/>
    </row>
    <row r="86" spans="1:17" s="39" customFormat="1" ht="18.5" outlineLevel="1" x14ac:dyDescent="0.45">
      <c r="A86" s="13"/>
      <c r="B86" s="13"/>
      <c r="C86" s="13"/>
      <c r="D86" s="13"/>
      <c r="E86" s="13"/>
      <c r="F86" s="42"/>
      <c r="G86" s="13"/>
      <c r="H86" s="43"/>
      <c r="I86" s="43"/>
      <c r="J86" s="43"/>
      <c r="K86" s="43"/>
      <c r="L86" s="43"/>
    </row>
    <row r="87" spans="1:17" s="39" customFormat="1" ht="18.5" outlineLevel="1" x14ac:dyDescent="0.45">
      <c r="A87" s="13"/>
      <c r="B87" s="13"/>
      <c r="C87" s="13"/>
      <c r="D87" s="13"/>
      <c r="E87" s="13"/>
      <c r="F87" s="42"/>
      <c r="G87" s="13"/>
      <c r="H87" s="43"/>
      <c r="I87" s="43"/>
      <c r="J87" s="43"/>
      <c r="K87" s="43"/>
      <c r="L87" s="43"/>
    </row>
    <row r="88" spans="1:17" s="39" customFormat="1" ht="18.5" outlineLevel="1" x14ac:dyDescent="0.45">
      <c r="A88" s="13"/>
      <c r="B88" s="13"/>
      <c r="C88" s="13"/>
      <c r="D88" s="13"/>
      <c r="E88" s="13"/>
      <c r="F88" s="42"/>
      <c r="G88" s="13"/>
      <c r="H88" s="43"/>
      <c r="I88" s="43"/>
      <c r="J88" s="43"/>
      <c r="K88" s="43"/>
      <c r="L88" s="43"/>
    </row>
    <row r="89" spans="1:17" s="39" customFormat="1" ht="18.5" outlineLevel="1" x14ac:dyDescent="0.45">
      <c r="A89" s="13"/>
      <c r="B89" s="13"/>
      <c r="C89" s="13"/>
      <c r="D89" s="13"/>
      <c r="E89" s="13"/>
      <c r="F89" s="42"/>
      <c r="G89" s="13"/>
      <c r="H89" s="43"/>
      <c r="I89" s="43"/>
      <c r="J89" s="43"/>
      <c r="K89" s="43"/>
      <c r="L89" s="43"/>
    </row>
    <row r="90" spans="1:17" s="39" customFormat="1" ht="18.5" outlineLevel="1" x14ac:dyDescent="0.45">
      <c r="A90" s="13"/>
      <c r="B90" s="13"/>
      <c r="C90" s="13"/>
      <c r="D90" s="1"/>
      <c r="E90" s="13"/>
      <c r="F90" s="42"/>
      <c r="G90" s="13"/>
      <c r="H90" s="43"/>
      <c r="I90" s="43"/>
      <c r="J90" s="43"/>
      <c r="K90" s="43"/>
      <c r="L90" s="43"/>
    </row>
    <row r="91" spans="1:17" s="39" customFormat="1" ht="18.5" outlineLevel="1" x14ac:dyDescent="0.45">
      <c r="A91" s="13"/>
      <c r="B91" s="13"/>
      <c r="C91" s="13"/>
      <c r="D91" s="1"/>
      <c r="E91" s="13"/>
      <c r="F91" s="42"/>
      <c r="G91" s="13"/>
      <c r="H91" s="43"/>
      <c r="I91" s="43"/>
      <c r="J91" s="43"/>
      <c r="K91" s="43"/>
      <c r="L91" s="43"/>
    </row>
    <row r="92" spans="1:17" s="39" customFormat="1" ht="18.5" outlineLevel="1" x14ac:dyDescent="0.45">
      <c r="A92" s="13"/>
      <c r="B92" s="13"/>
      <c r="C92" s="13"/>
      <c r="D92" s="1"/>
      <c r="E92" s="13"/>
      <c r="F92" s="42"/>
      <c r="G92" s="13"/>
      <c r="H92" s="43"/>
      <c r="I92" s="43"/>
      <c r="J92" s="43"/>
      <c r="K92" s="43"/>
      <c r="L92" s="43"/>
    </row>
    <row r="93" spans="1:17" s="39" customFormat="1" ht="18.5" outlineLevel="1" x14ac:dyDescent="0.45">
      <c r="A93" s="13"/>
      <c r="B93" s="13"/>
      <c r="C93" s="13"/>
      <c r="D93" s="60"/>
      <c r="E93" s="60"/>
      <c r="F93" s="61"/>
      <c r="G93" s="60"/>
      <c r="H93" s="62"/>
      <c r="I93" s="62"/>
      <c r="J93" s="62"/>
      <c r="K93" s="62"/>
      <c r="L93" s="62"/>
    </row>
    <row r="94" spans="1:17" s="39" customFormat="1" ht="18.5" outlineLevel="1" x14ac:dyDescent="0.45">
      <c r="A94" s="13"/>
      <c r="B94" s="13"/>
      <c r="C94" s="13"/>
      <c r="D94" s="13"/>
      <c r="E94" s="13"/>
      <c r="F94" s="13"/>
      <c r="G94" s="13"/>
      <c r="H94" s="43"/>
      <c r="I94" s="43"/>
      <c r="J94" s="43"/>
      <c r="K94" s="43"/>
      <c r="L94" s="43"/>
    </row>
    <row r="95" spans="1:17" s="39" customFormat="1" ht="18.5" outlineLevel="1" x14ac:dyDescent="0.45">
      <c r="A95" s="13"/>
      <c r="B95" s="13"/>
      <c r="C95" s="13"/>
      <c r="D95" s="13"/>
      <c r="E95" s="13"/>
      <c r="F95" s="13"/>
      <c r="G95" s="13"/>
      <c r="H95" s="43"/>
      <c r="I95" s="43"/>
      <c r="J95" s="43"/>
      <c r="K95" s="43"/>
      <c r="L95" s="43"/>
    </row>
    <row r="96" spans="1:17" s="39" customFormat="1" ht="18.5" outlineLevel="1" x14ac:dyDescent="0.45">
      <c r="A96" s="13"/>
      <c r="B96" s="13"/>
      <c r="C96" s="13"/>
      <c r="D96" s="13"/>
      <c r="E96" s="13"/>
      <c r="F96" s="42"/>
      <c r="G96" s="13"/>
      <c r="H96" s="43"/>
      <c r="I96" s="43"/>
      <c r="J96" s="43"/>
      <c r="K96" s="43"/>
      <c r="L96" s="43"/>
    </row>
    <row r="97" spans="1:17" s="39" customFormat="1" ht="18.5" outlineLevel="1" x14ac:dyDescent="0.45">
      <c r="A97" s="13"/>
      <c r="B97" s="13"/>
      <c r="C97" s="13"/>
      <c r="D97" s="13"/>
      <c r="E97" s="13"/>
      <c r="F97" s="42"/>
      <c r="G97" s="13"/>
      <c r="H97" s="43"/>
      <c r="I97" s="43"/>
      <c r="J97" s="43"/>
      <c r="K97" s="43"/>
      <c r="L97" s="43"/>
    </row>
    <row r="98" spans="1:17" s="39" customFormat="1" ht="18.5" outlineLevel="1" x14ac:dyDescent="0.45">
      <c r="A98" s="13"/>
      <c r="B98" s="13"/>
      <c r="C98" s="13"/>
      <c r="D98" s="13"/>
      <c r="E98" s="13"/>
      <c r="F98" s="42"/>
      <c r="G98" s="13"/>
      <c r="H98" s="43"/>
      <c r="I98" s="43"/>
      <c r="J98" s="43"/>
      <c r="K98" s="43"/>
      <c r="L98" s="43"/>
    </row>
    <row r="99" spans="1:17" s="39" customFormat="1" ht="18.5" outlineLevel="1" x14ac:dyDescent="0.45">
      <c r="A99" s="13"/>
      <c r="B99" s="13"/>
      <c r="C99" s="13"/>
      <c r="D99" s="13"/>
      <c r="E99" s="13"/>
      <c r="F99" s="42"/>
      <c r="G99" s="13"/>
      <c r="H99" s="43"/>
      <c r="I99" s="43"/>
      <c r="J99" s="43"/>
      <c r="K99" s="43"/>
      <c r="L99" s="43"/>
    </row>
    <row r="100" spans="1:17" s="39" customFormat="1" ht="18.5" outlineLevel="1" x14ac:dyDescent="0.45">
      <c r="A100" s="13"/>
      <c r="B100" s="13"/>
      <c r="C100" s="13"/>
      <c r="D100" s="60"/>
      <c r="E100" s="60"/>
      <c r="F100" s="61"/>
      <c r="G100" s="60"/>
      <c r="H100" s="62"/>
      <c r="I100" s="62"/>
      <c r="J100" s="62"/>
      <c r="K100" s="62"/>
      <c r="L100" s="62"/>
    </row>
    <row r="101" spans="1:17" s="39" customFormat="1" ht="18.5" outlineLevel="1" x14ac:dyDescent="0.45">
      <c r="A101" s="13"/>
      <c r="B101" s="13"/>
      <c r="C101" s="13"/>
      <c r="D101" s="13"/>
      <c r="E101" s="13"/>
      <c r="F101" s="13"/>
      <c r="G101" s="13"/>
      <c r="H101" s="43"/>
      <c r="I101" s="43"/>
      <c r="J101" s="43"/>
      <c r="K101" s="43"/>
      <c r="L101" s="43"/>
    </row>
    <row r="102" spans="1:17" s="39" customFormat="1" ht="18.5" outlineLevel="1" x14ac:dyDescent="0.45">
      <c r="A102" s="13"/>
      <c r="B102" s="13"/>
      <c r="D102" s="13"/>
      <c r="E102" s="13"/>
      <c r="F102" s="42"/>
      <c r="G102" s="13"/>
      <c r="H102" s="64"/>
      <c r="I102" s="64"/>
      <c r="J102" s="64"/>
      <c r="K102" s="64"/>
      <c r="L102" s="64"/>
    </row>
    <row r="103" spans="1:17" s="39" customFormat="1" ht="18.5" outlineLevel="1" x14ac:dyDescent="0.45">
      <c r="A103" s="13"/>
      <c r="B103" s="13"/>
      <c r="C103" s="13"/>
      <c r="D103" s="13"/>
      <c r="E103" s="13"/>
      <c r="F103" s="42"/>
      <c r="G103" s="13"/>
      <c r="H103" s="43"/>
      <c r="I103" s="43"/>
      <c r="J103" s="43"/>
      <c r="K103" s="43"/>
      <c r="L103" s="43"/>
    </row>
    <row r="104" spans="1:17" s="39" customFormat="1" ht="18.5" outlineLevel="1" x14ac:dyDescent="0.45">
      <c r="A104" s="13"/>
      <c r="B104" s="13"/>
      <c r="C104" s="13"/>
      <c r="D104" s="17"/>
      <c r="E104" s="17"/>
      <c r="F104" s="44"/>
      <c r="G104" s="17"/>
      <c r="H104" s="62"/>
      <c r="I104" s="62"/>
      <c r="J104" s="62"/>
      <c r="K104" s="62"/>
      <c r="L104" s="62"/>
    </row>
    <row r="105" spans="1:17" s="39" customFormat="1" ht="18.5" outlineLevel="1" x14ac:dyDescent="0.45">
      <c r="A105" s="13"/>
      <c r="B105" s="13"/>
      <c r="C105" s="13"/>
      <c r="D105" s="13"/>
      <c r="E105" s="13"/>
      <c r="F105" s="13"/>
      <c r="G105" s="13"/>
      <c r="H105" s="43"/>
      <c r="I105" s="43"/>
      <c r="J105" s="43"/>
      <c r="K105" s="43"/>
      <c r="L105" s="43"/>
    </row>
    <row r="106" spans="1:17" s="39" customFormat="1" ht="18.5" x14ac:dyDescent="0.45">
      <c r="A106" s="13"/>
      <c r="B106" s="13"/>
      <c r="C106" s="13"/>
      <c r="D106" s="13"/>
      <c r="E106" s="13"/>
      <c r="F106" s="13"/>
      <c r="G106" s="13"/>
      <c r="H106" s="43"/>
      <c r="I106" s="43"/>
      <c r="J106" s="43"/>
      <c r="K106" s="43"/>
      <c r="L106" s="43"/>
    </row>
    <row r="107" spans="1:17" s="39" customFormat="1" ht="18.5" x14ac:dyDescent="0.45">
      <c r="A107" s="13"/>
      <c r="B107" s="13"/>
      <c r="C107" s="13"/>
      <c r="D107" s="13"/>
      <c r="E107" s="13"/>
      <c r="F107" s="13"/>
      <c r="G107" s="13"/>
      <c r="H107" s="43"/>
      <c r="I107" s="43"/>
      <c r="J107" s="43"/>
      <c r="K107" s="43"/>
      <c r="L107" s="43"/>
    </row>
    <row r="108" spans="1:17" s="39" customFormat="1" ht="20.5" x14ac:dyDescent="0.45">
      <c r="A108" s="38"/>
      <c r="B108" s="38"/>
      <c r="C108" s="38"/>
      <c r="D108" s="38"/>
      <c r="E108" s="38"/>
      <c r="F108" s="38"/>
      <c r="G108" s="38"/>
      <c r="H108" s="38"/>
      <c r="I108" s="38"/>
      <c r="J108" s="38"/>
      <c r="K108" s="38"/>
      <c r="L108" s="38"/>
      <c r="M108" s="38"/>
      <c r="N108" s="38"/>
      <c r="O108" s="38"/>
      <c r="P108" s="38"/>
      <c r="Q108" s="38"/>
    </row>
    <row r="109" spans="1:17" s="39" customFormat="1" ht="18.5" x14ac:dyDescent="0.45">
      <c r="A109" s="13"/>
      <c r="B109" s="13"/>
      <c r="C109" s="13"/>
      <c r="D109" s="13"/>
      <c r="E109" s="13"/>
      <c r="F109" s="13"/>
      <c r="G109" s="13"/>
      <c r="H109" s="43"/>
      <c r="I109" s="43"/>
      <c r="J109" s="43"/>
      <c r="K109" s="43"/>
      <c r="L109" s="43"/>
    </row>
    <row r="110" spans="1:17" s="39" customFormat="1" ht="18.5" x14ac:dyDescent="0.45">
      <c r="A110" s="13"/>
      <c r="B110" s="13"/>
      <c r="C110" s="16"/>
      <c r="D110" s="13"/>
      <c r="E110" s="13"/>
      <c r="F110" s="13"/>
      <c r="G110" s="13"/>
      <c r="H110" s="43"/>
      <c r="I110" s="43"/>
      <c r="J110" s="43"/>
      <c r="K110" s="43"/>
      <c r="L110" s="43"/>
    </row>
    <row r="111" spans="1:17" s="39" customFormat="1" ht="18.5" x14ac:dyDescent="0.45">
      <c r="A111" s="13"/>
      <c r="B111" s="13"/>
      <c r="C111" s="13"/>
      <c r="D111" s="13"/>
      <c r="E111" s="13"/>
      <c r="F111" s="42"/>
      <c r="G111" s="13"/>
      <c r="H111" s="43"/>
      <c r="I111" s="43"/>
      <c r="J111" s="43"/>
      <c r="K111" s="43"/>
      <c r="L111" s="43"/>
    </row>
    <row r="112" spans="1:17" s="39" customFormat="1" ht="18.5" x14ac:dyDescent="0.45">
      <c r="A112" s="13"/>
      <c r="B112" s="13"/>
      <c r="C112" s="13"/>
      <c r="D112" s="13"/>
      <c r="E112" s="13"/>
      <c r="F112" s="42"/>
      <c r="G112" s="13"/>
      <c r="H112" s="43"/>
      <c r="I112" s="43"/>
      <c r="J112" s="43"/>
      <c r="K112" s="43"/>
      <c r="L112" s="43"/>
    </row>
    <row r="113" spans="1:12" s="39" customFormat="1" ht="18.5" x14ac:dyDescent="0.45">
      <c r="A113" s="13"/>
      <c r="B113" s="13"/>
      <c r="C113" s="13"/>
      <c r="D113" s="13"/>
      <c r="E113" s="13"/>
      <c r="F113" s="42"/>
      <c r="G113" s="13"/>
      <c r="H113" s="43"/>
      <c r="I113" s="43"/>
      <c r="J113" s="43"/>
      <c r="K113" s="43"/>
      <c r="L113" s="43"/>
    </row>
    <row r="114" spans="1:12" s="39" customFormat="1" ht="18.5" x14ac:dyDescent="0.45">
      <c r="A114" s="13"/>
      <c r="B114" s="13"/>
      <c r="C114" s="13"/>
      <c r="D114" s="13"/>
      <c r="E114" s="13"/>
      <c r="F114" s="42"/>
      <c r="G114" s="13"/>
      <c r="H114" s="43"/>
      <c r="I114" s="43"/>
      <c r="J114" s="43"/>
      <c r="K114" s="43"/>
      <c r="L114" s="43"/>
    </row>
    <row r="115" spans="1:12" s="39" customFormat="1" ht="18.5" x14ac:dyDescent="0.45">
      <c r="A115" s="13"/>
      <c r="B115" s="13"/>
      <c r="C115" s="13"/>
      <c r="D115" s="60"/>
      <c r="E115" s="60"/>
      <c r="F115" s="61"/>
      <c r="G115" s="60"/>
      <c r="H115" s="62"/>
      <c r="I115" s="62"/>
      <c r="J115" s="62"/>
      <c r="K115" s="62"/>
      <c r="L115" s="62"/>
    </row>
    <row r="116" spans="1:12" s="39" customFormat="1" ht="18.5" x14ac:dyDescent="0.45">
      <c r="A116" s="13"/>
      <c r="B116" s="13"/>
      <c r="C116" s="13"/>
      <c r="D116" s="13"/>
      <c r="E116" s="13"/>
      <c r="F116" s="42"/>
      <c r="G116" s="13"/>
      <c r="H116" s="43"/>
      <c r="I116" s="43"/>
      <c r="J116" s="43"/>
      <c r="K116" s="43"/>
      <c r="L116" s="43"/>
    </row>
    <row r="117" spans="1:12" s="39" customFormat="1" ht="18.5" x14ac:dyDescent="0.45">
      <c r="A117" s="13"/>
      <c r="B117" s="13"/>
      <c r="C117" s="13"/>
      <c r="D117" s="13"/>
      <c r="E117" s="13"/>
      <c r="G117" s="13"/>
      <c r="H117" s="43"/>
      <c r="I117" s="43"/>
      <c r="J117" s="43"/>
      <c r="K117" s="43"/>
      <c r="L117" s="43"/>
    </row>
    <row r="118" spans="1:12" s="39" customFormat="1" ht="18.5" x14ac:dyDescent="0.45">
      <c r="A118" s="13"/>
      <c r="B118" s="13"/>
      <c r="C118" s="13"/>
      <c r="D118" s="13"/>
      <c r="E118" s="13"/>
      <c r="F118" s="42"/>
      <c r="G118" s="13"/>
      <c r="H118" s="43"/>
      <c r="I118" s="43"/>
      <c r="J118" s="43"/>
      <c r="K118" s="43"/>
      <c r="L118" s="43"/>
    </row>
    <row r="119" spans="1:12" s="39" customFormat="1" ht="18.5" x14ac:dyDescent="0.45">
      <c r="A119" s="13"/>
      <c r="B119" s="13"/>
      <c r="C119" s="13"/>
      <c r="D119" s="13"/>
      <c r="E119" s="13"/>
      <c r="F119" s="42"/>
      <c r="G119" s="13"/>
      <c r="H119" s="43"/>
      <c r="I119" s="43"/>
      <c r="J119" s="43"/>
      <c r="K119" s="43"/>
      <c r="L119" s="43"/>
    </row>
    <row r="120" spans="1:12" s="39" customFormat="1" ht="18.5" x14ac:dyDescent="0.45">
      <c r="A120" s="13"/>
      <c r="B120" s="13"/>
      <c r="C120" s="13"/>
      <c r="D120" s="13"/>
      <c r="E120" s="13"/>
      <c r="F120" s="42"/>
      <c r="G120" s="13"/>
      <c r="H120" s="43"/>
      <c r="I120" s="43"/>
      <c r="J120" s="43"/>
      <c r="K120" s="43"/>
      <c r="L120" s="43"/>
    </row>
    <row r="121" spans="1:12" s="39" customFormat="1" ht="18.5" x14ac:dyDescent="0.45">
      <c r="A121" s="13"/>
      <c r="B121" s="13"/>
      <c r="C121" s="13"/>
      <c r="D121" s="17"/>
      <c r="E121" s="17"/>
      <c r="F121" s="61"/>
      <c r="G121" s="17"/>
      <c r="H121" s="62"/>
      <c r="I121" s="62"/>
      <c r="J121" s="62"/>
      <c r="K121" s="62"/>
      <c r="L121" s="62"/>
    </row>
    <row r="122" spans="1:12" s="39" customFormat="1" ht="18.5" x14ac:dyDescent="0.45">
      <c r="A122" s="13"/>
      <c r="B122" s="13"/>
      <c r="C122" s="13"/>
      <c r="D122" s="13"/>
      <c r="E122" s="13"/>
      <c r="F122" s="13"/>
      <c r="G122" s="13"/>
      <c r="H122" s="43"/>
      <c r="I122" s="43"/>
      <c r="J122" s="43"/>
      <c r="K122" s="43"/>
      <c r="L122" s="43"/>
    </row>
    <row r="123" spans="1:12" s="39" customFormat="1" ht="18.5" x14ac:dyDescent="0.45">
      <c r="A123" s="13"/>
      <c r="B123" s="13"/>
      <c r="C123" s="13"/>
      <c r="D123" s="13"/>
      <c r="E123" s="13"/>
      <c r="F123" s="13"/>
      <c r="G123" s="13"/>
      <c r="H123" s="43"/>
      <c r="I123" s="43"/>
      <c r="J123" s="43"/>
      <c r="K123" s="43"/>
      <c r="L123" s="43"/>
    </row>
    <row r="124" spans="1:12" s="39" customFormat="1" ht="18.5" x14ac:dyDescent="0.45">
      <c r="A124" s="13"/>
      <c r="B124" s="13"/>
      <c r="C124" s="13"/>
      <c r="D124" s="13"/>
      <c r="E124" s="13"/>
      <c r="F124" s="42"/>
      <c r="G124" s="13"/>
      <c r="H124" s="43"/>
      <c r="I124" s="43"/>
      <c r="J124" s="43"/>
      <c r="K124" s="43"/>
      <c r="L124" s="43"/>
    </row>
    <row r="125" spans="1:12" s="39" customFormat="1" ht="18.5" x14ac:dyDescent="0.45">
      <c r="A125" s="13"/>
      <c r="B125" s="13"/>
      <c r="C125" s="13"/>
      <c r="D125" s="13"/>
      <c r="E125" s="13"/>
      <c r="F125" s="42"/>
      <c r="G125" s="13"/>
      <c r="H125" s="43"/>
      <c r="I125" s="43"/>
      <c r="J125" s="43"/>
      <c r="K125" s="43"/>
      <c r="L125" s="43"/>
    </row>
    <row r="126" spans="1:12" s="39" customFormat="1" ht="18.5" x14ac:dyDescent="0.45">
      <c r="A126" s="13"/>
      <c r="B126" s="13"/>
      <c r="C126" s="13"/>
      <c r="D126" s="13"/>
      <c r="E126" s="13"/>
      <c r="F126" s="61"/>
      <c r="G126" s="17"/>
      <c r="H126" s="62"/>
      <c r="I126" s="62"/>
      <c r="J126" s="62"/>
      <c r="K126" s="62"/>
      <c r="L126" s="62"/>
    </row>
    <row r="127" spans="1:12" s="39" customFormat="1" ht="18.5" x14ac:dyDescent="0.45">
      <c r="A127" s="13"/>
      <c r="B127" s="13"/>
      <c r="C127" s="13"/>
      <c r="D127" s="13"/>
      <c r="E127" s="13"/>
      <c r="F127" s="42"/>
      <c r="G127" s="13"/>
      <c r="H127" s="43"/>
      <c r="I127" s="43"/>
      <c r="J127" s="43"/>
      <c r="K127" s="43"/>
      <c r="L127" s="43"/>
    </row>
    <row r="128" spans="1:12" s="39" customFormat="1" ht="18.5" x14ac:dyDescent="0.45">
      <c r="A128" s="13"/>
      <c r="B128" s="13"/>
      <c r="C128" s="13"/>
      <c r="D128" s="13"/>
      <c r="E128" s="13"/>
      <c r="F128" s="13"/>
      <c r="G128" s="13"/>
      <c r="H128" s="43"/>
      <c r="I128" s="43"/>
      <c r="J128" s="43"/>
      <c r="K128" s="43"/>
      <c r="L128" s="43"/>
    </row>
    <row r="129" spans="1:12" s="39" customFormat="1" ht="18.5" x14ac:dyDescent="0.45">
      <c r="A129" s="13"/>
      <c r="B129" s="13"/>
      <c r="C129" s="13"/>
      <c r="D129" s="13"/>
      <c r="E129" s="13"/>
      <c r="F129" s="13"/>
      <c r="G129" s="13"/>
      <c r="H129" s="43"/>
      <c r="I129" s="43"/>
      <c r="J129" s="43"/>
      <c r="K129" s="43"/>
      <c r="L129" s="43"/>
    </row>
    <row r="130" spans="1:12" s="39" customFormat="1" ht="18.5" x14ac:dyDescent="0.45">
      <c r="A130" s="13"/>
      <c r="B130" s="13"/>
      <c r="C130" s="13"/>
      <c r="D130" s="13"/>
      <c r="E130" s="13"/>
      <c r="F130" s="13"/>
      <c r="G130" s="13"/>
      <c r="H130" s="43"/>
      <c r="I130" s="43"/>
      <c r="J130" s="43"/>
      <c r="K130" s="43"/>
      <c r="L130" s="43"/>
    </row>
    <row r="131" spans="1:12" s="39" customFormat="1" ht="18.5" x14ac:dyDescent="0.45">
      <c r="A131" s="13"/>
      <c r="B131" s="13"/>
      <c r="C131" s="13"/>
      <c r="D131" s="13"/>
      <c r="E131" s="13"/>
      <c r="F131" s="13"/>
      <c r="G131" s="13"/>
      <c r="H131" s="43"/>
      <c r="I131" s="43"/>
      <c r="J131" s="43"/>
      <c r="K131" s="43"/>
      <c r="L131" s="43"/>
    </row>
    <row r="132" spans="1:12" s="39" customFormat="1" ht="18.5" x14ac:dyDescent="0.45">
      <c r="A132" s="13"/>
      <c r="B132" s="13"/>
      <c r="C132" s="13"/>
      <c r="D132" s="13"/>
      <c r="E132" s="13"/>
      <c r="F132" s="13"/>
      <c r="G132" s="13"/>
      <c r="H132" s="43"/>
      <c r="I132" s="43"/>
      <c r="J132" s="43"/>
      <c r="K132" s="43"/>
      <c r="L132" s="43"/>
    </row>
    <row r="133" spans="1:12" s="39" customFormat="1" ht="18.5" x14ac:dyDescent="0.45">
      <c r="A133" s="13"/>
      <c r="B133" s="13"/>
      <c r="C133" s="13"/>
      <c r="D133" s="13"/>
      <c r="E133" s="13"/>
      <c r="F133" s="13"/>
      <c r="G133" s="13"/>
      <c r="H133" s="43"/>
      <c r="I133" s="43"/>
      <c r="J133" s="43"/>
      <c r="K133" s="43"/>
      <c r="L133" s="43"/>
    </row>
    <row r="134" spans="1:12" s="39" customFormat="1" ht="18.5" x14ac:dyDescent="0.45">
      <c r="A134" s="13"/>
      <c r="B134" s="13"/>
      <c r="C134" s="13"/>
      <c r="D134" s="13"/>
      <c r="E134" s="13"/>
      <c r="F134" s="13"/>
      <c r="G134" s="13"/>
      <c r="H134" s="43"/>
      <c r="I134" s="43"/>
      <c r="J134" s="43"/>
      <c r="K134" s="43"/>
      <c r="L134" s="43"/>
    </row>
    <row r="135" spans="1:12" s="39" customFormat="1" ht="18.5" x14ac:dyDescent="0.45">
      <c r="A135" s="13"/>
      <c r="B135" s="13"/>
      <c r="C135" s="13"/>
      <c r="D135" s="13"/>
      <c r="E135" s="13"/>
      <c r="F135" s="13"/>
      <c r="G135" s="13"/>
      <c r="H135" s="43"/>
      <c r="I135" s="43"/>
      <c r="J135" s="43"/>
      <c r="K135" s="43"/>
      <c r="L135" s="43"/>
    </row>
    <row r="136" spans="1:12" s="39" customFormat="1" ht="18.5" x14ac:dyDescent="0.45">
      <c r="A136" s="13"/>
      <c r="B136" s="13"/>
      <c r="C136" s="13"/>
      <c r="D136" s="13"/>
      <c r="E136" s="13"/>
      <c r="F136" s="13"/>
      <c r="G136" s="13"/>
      <c r="H136" s="43"/>
      <c r="I136" s="43"/>
      <c r="J136" s="43"/>
      <c r="K136" s="43"/>
      <c r="L136" s="43"/>
    </row>
    <row r="137" spans="1:12" s="39" customFormat="1" ht="18.5" x14ac:dyDescent="0.45">
      <c r="A137" s="13"/>
      <c r="B137" s="13"/>
      <c r="C137" s="13"/>
      <c r="D137" s="13"/>
      <c r="E137" s="13"/>
      <c r="F137" s="13"/>
      <c r="G137" s="13"/>
      <c r="H137" s="43"/>
      <c r="I137" s="43"/>
      <c r="J137" s="43"/>
      <c r="K137" s="43"/>
      <c r="L137" s="43"/>
    </row>
    <row r="138" spans="1:12" s="39" customFormat="1" ht="18.5" x14ac:dyDescent="0.45">
      <c r="A138" s="13"/>
      <c r="B138" s="13"/>
      <c r="C138" s="13"/>
      <c r="D138" s="13"/>
      <c r="E138" s="13"/>
      <c r="F138" s="13"/>
      <c r="G138" s="13"/>
      <c r="H138" s="43"/>
      <c r="I138" s="43"/>
      <c r="J138" s="43"/>
      <c r="K138" s="43"/>
      <c r="L138" s="43"/>
    </row>
    <row r="139" spans="1:12" s="39" customFormat="1" ht="18.5" x14ac:dyDescent="0.45">
      <c r="A139" s="13"/>
      <c r="B139" s="13"/>
      <c r="C139" s="13"/>
      <c r="D139" s="13"/>
      <c r="E139" s="13"/>
      <c r="F139" s="13"/>
      <c r="G139" s="13"/>
      <c r="H139" s="43"/>
      <c r="I139" s="43"/>
      <c r="J139" s="43"/>
      <c r="K139" s="43"/>
      <c r="L139" s="43"/>
    </row>
    <row r="140" spans="1:12" s="39" customFormat="1" ht="18.5" x14ac:dyDescent="0.45">
      <c r="A140" s="13"/>
      <c r="B140" s="13"/>
      <c r="C140" s="13"/>
      <c r="D140" s="13"/>
      <c r="E140" s="13"/>
      <c r="F140" s="13"/>
      <c r="G140" s="13"/>
      <c r="H140" s="43"/>
      <c r="I140" s="43"/>
      <c r="J140" s="43"/>
      <c r="K140" s="43"/>
      <c r="L140" s="43"/>
    </row>
    <row r="141" spans="1:12" s="39" customFormat="1" ht="18.5" x14ac:dyDescent="0.45">
      <c r="A141" s="13"/>
      <c r="B141" s="13"/>
      <c r="C141" s="13"/>
      <c r="D141" s="13"/>
      <c r="E141" s="13"/>
      <c r="F141" s="13"/>
      <c r="G141" s="13"/>
      <c r="H141" s="43"/>
      <c r="I141" s="43"/>
      <c r="J141" s="43"/>
      <c r="K141" s="43"/>
      <c r="L141" s="43"/>
    </row>
    <row r="142" spans="1:12" s="39" customFormat="1" ht="18.5" x14ac:dyDescent="0.45">
      <c r="A142" s="13"/>
      <c r="B142" s="13"/>
      <c r="C142" s="13"/>
      <c r="D142" s="13"/>
      <c r="E142" s="13"/>
      <c r="F142" s="13"/>
      <c r="G142" s="13"/>
      <c r="H142" s="43"/>
      <c r="I142" s="43"/>
      <c r="J142" s="43"/>
      <c r="K142" s="43"/>
      <c r="L142" s="43"/>
    </row>
    <row r="143" spans="1:12" s="39" customFormat="1" ht="18.5" x14ac:dyDescent="0.45">
      <c r="A143" s="13"/>
      <c r="B143" s="13"/>
      <c r="C143" s="13"/>
      <c r="D143" s="13"/>
      <c r="E143" s="13"/>
      <c r="F143" s="13"/>
      <c r="G143" s="13"/>
      <c r="H143" s="43"/>
      <c r="I143" s="43"/>
      <c r="J143" s="43"/>
      <c r="K143" s="43"/>
      <c r="L143" s="43"/>
    </row>
    <row r="144" spans="1:12" s="39" customFormat="1" ht="18.5" x14ac:dyDescent="0.45">
      <c r="A144" s="13"/>
      <c r="B144" s="13"/>
      <c r="C144" s="13"/>
      <c r="D144" s="13"/>
      <c r="E144" s="13"/>
      <c r="F144" s="13"/>
      <c r="G144" s="13"/>
      <c r="H144" s="43"/>
      <c r="I144" s="43"/>
      <c r="J144" s="43"/>
      <c r="K144" s="43"/>
      <c r="L144" s="43"/>
    </row>
    <row r="145" spans="1:12" s="39" customFormat="1" ht="18.5" x14ac:dyDescent="0.45">
      <c r="A145" s="13"/>
      <c r="B145" s="13"/>
      <c r="C145" s="13"/>
      <c r="D145" s="13"/>
      <c r="E145" s="13"/>
      <c r="F145" s="13"/>
      <c r="G145" s="13"/>
      <c r="H145" s="43"/>
      <c r="I145" s="43"/>
      <c r="J145" s="43"/>
      <c r="K145" s="43"/>
      <c r="L145" s="43"/>
    </row>
    <row r="146" spans="1:12" s="39" customFormat="1" ht="18.5" x14ac:dyDescent="0.45">
      <c r="A146" s="13"/>
      <c r="B146" s="13"/>
      <c r="C146" s="13"/>
      <c r="D146" s="13"/>
      <c r="E146" s="13"/>
      <c r="F146" s="13"/>
      <c r="G146" s="13"/>
      <c r="H146" s="43"/>
      <c r="I146" s="43"/>
      <c r="J146" s="43"/>
      <c r="K146" s="43"/>
      <c r="L146" s="43"/>
    </row>
    <row r="147" spans="1:12" s="39" customFormat="1" ht="18.5" x14ac:dyDescent="0.45">
      <c r="A147" s="13"/>
      <c r="B147" s="13"/>
      <c r="C147" s="13"/>
      <c r="D147" s="13"/>
      <c r="E147" s="13"/>
      <c r="F147" s="13"/>
      <c r="G147" s="13"/>
      <c r="H147" s="43"/>
      <c r="I147" s="43"/>
      <c r="J147" s="43"/>
      <c r="K147" s="43"/>
      <c r="L147" s="43"/>
    </row>
    <row r="148" spans="1:12" s="39" customFormat="1" ht="18.5" x14ac:dyDescent="0.45">
      <c r="A148" s="13"/>
      <c r="B148" s="13"/>
      <c r="C148" s="13"/>
      <c r="D148" s="13"/>
      <c r="E148" s="13"/>
      <c r="F148" s="13"/>
      <c r="G148" s="13"/>
      <c r="H148" s="43"/>
      <c r="I148" s="43"/>
      <c r="J148" s="43"/>
      <c r="K148" s="43"/>
      <c r="L148" s="43"/>
    </row>
    <row r="149" spans="1:12" s="39" customFormat="1" ht="18.5" x14ac:dyDescent="0.45">
      <c r="A149" s="13"/>
      <c r="B149" s="13"/>
      <c r="C149" s="13"/>
      <c r="D149" s="13"/>
      <c r="E149" s="13"/>
      <c r="F149" s="13"/>
      <c r="G149" s="13"/>
      <c r="H149" s="43"/>
      <c r="I149" s="43"/>
      <c r="J149" s="43"/>
      <c r="K149" s="43"/>
      <c r="L149" s="43"/>
    </row>
    <row r="150" spans="1:12" s="39" customFormat="1" ht="18.5" x14ac:dyDescent="0.45">
      <c r="A150" s="13"/>
      <c r="B150" s="13"/>
      <c r="C150" s="13"/>
      <c r="D150" s="13"/>
      <c r="E150" s="13"/>
      <c r="F150" s="13"/>
      <c r="G150" s="13"/>
      <c r="H150" s="43"/>
      <c r="I150" s="43"/>
      <c r="J150" s="43"/>
      <c r="K150" s="43"/>
      <c r="L150" s="43"/>
    </row>
    <row r="151" spans="1:12" s="39" customFormat="1" ht="18.5" x14ac:dyDescent="0.45">
      <c r="A151" s="13"/>
      <c r="B151" s="13"/>
      <c r="C151" s="13"/>
      <c r="D151" s="13"/>
      <c r="E151" s="13"/>
      <c r="F151" s="13"/>
      <c r="G151" s="13"/>
      <c r="H151" s="43"/>
      <c r="I151" s="43"/>
      <c r="J151" s="43"/>
      <c r="K151" s="43"/>
      <c r="L151" s="43"/>
    </row>
    <row r="152" spans="1:12" s="39" customFormat="1" ht="18.5" x14ac:dyDescent="0.45">
      <c r="A152" s="13"/>
      <c r="B152" s="13"/>
      <c r="C152" s="13"/>
      <c r="D152" s="13"/>
      <c r="E152" s="13"/>
      <c r="F152" s="13"/>
      <c r="G152" s="13"/>
      <c r="H152" s="43"/>
      <c r="I152" s="43"/>
      <c r="J152" s="43"/>
      <c r="K152" s="43"/>
      <c r="L152" s="43"/>
    </row>
    <row r="153" spans="1:12" s="39" customFormat="1" ht="18.5" x14ac:dyDescent="0.45">
      <c r="A153" s="13"/>
      <c r="B153" s="13"/>
      <c r="C153" s="13"/>
      <c r="D153" s="13"/>
      <c r="E153" s="13"/>
      <c r="F153" s="13"/>
      <c r="G153" s="13"/>
      <c r="H153" s="43"/>
      <c r="I153" s="43"/>
      <c r="J153" s="43"/>
      <c r="K153" s="43"/>
      <c r="L153" s="43"/>
    </row>
    <row r="154" spans="1:12" s="39" customFormat="1" ht="18.5" x14ac:dyDescent="0.45">
      <c r="A154" s="13"/>
      <c r="B154" s="13"/>
      <c r="C154" s="13"/>
      <c r="D154" s="13"/>
      <c r="E154" s="13"/>
      <c r="F154" s="13"/>
      <c r="G154" s="13"/>
      <c r="H154" s="43"/>
      <c r="I154" s="43"/>
      <c r="J154" s="43"/>
      <c r="K154" s="43"/>
      <c r="L154" s="43"/>
    </row>
    <row r="155" spans="1:12" s="39" customFormat="1" ht="18.5" x14ac:dyDescent="0.45">
      <c r="A155" s="13"/>
      <c r="B155" s="13"/>
      <c r="C155" s="13"/>
      <c r="D155" s="13"/>
      <c r="E155" s="13"/>
      <c r="F155" s="13"/>
      <c r="G155" s="13"/>
      <c r="H155" s="43"/>
      <c r="I155" s="43"/>
      <c r="J155" s="43"/>
      <c r="K155" s="43"/>
      <c r="L155" s="43"/>
    </row>
    <row r="156" spans="1:12" s="39" customFormat="1" ht="18.5" x14ac:dyDescent="0.45">
      <c r="A156" s="13"/>
      <c r="B156" s="13"/>
      <c r="C156" s="13"/>
      <c r="D156" s="13"/>
      <c r="E156" s="13"/>
      <c r="F156" s="13"/>
      <c r="G156" s="13"/>
      <c r="H156" s="43"/>
      <c r="I156" s="43"/>
      <c r="J156" s="43"/>
      <c r="K156" s="43"/>
      <c r="L156" s="43"/>
    </row>
    <row r="157" spans="1:12" s="39" customFormat="1" ht="18.5" x14ac:dyDescent="0.45">
      <c r="A157" s="13"/>
      <c r="B157" s="13"/>
      <c r="C157" s="13"/>
      <c r="D157" s="13"/>
      <c r="E157" s="13"/>
      <c r="F157" s="13"/>
      <c r="G157" s="13"/>
      <c r="H157" s="43"/>
      <c r="I157" s="43"/>
      <c r="J157" s="43"/>
      <c r="K157" s="43"/>
      <c r="L157" s="43"/>
    </row>
    <row r="158" spans="1:12" s="39" customFormat="1" ht="18.5" x14ac:dyDescent="0.45">
      <c r="A158" s="13"/>
      <c r="B158" s="13"/>
      <c r="C158" s="13"/>
      <c r="D158" s="13"/>
      <c r="E158" s="13"/>
      <c r="F158" s="13"/>
      <c r="G158" s="13"/>
      <c r="H158" s="43"/>
      <c r="I158" s="43"/>
      <c r="J158" s="43"/>
      <c r="K158" s="43"/>
      <c r="L158" s="43"/>
    </row>
    <row r="159" spans="1:12" s="39" customFormat="1" ht="18.5" x14ac:dyDescent="0.45">
      <c r="A159" s="13"/>
      <c r="B159" s="13"/>
      <c r="C159" s="13"/>
      <c r="D159" s="13"/>
      <c r="E159" s="13"/>
      <c r="F159" s="13"/>
      <c r="G159" s="13"/>
      <c r="H159" s="43"/>
      <c r="I159" s="43"/>
      <c r="J159" s="43"/>
      <c r="K159" s="43"/>
      <c r="L159" s="43"/>
    </row>
    <row r="160" spans="1:12" s="39" customFormat="1" ht="18.5" x14ac:dyDescent="0.45">
      <c r="A160" s="13"/>
      <c r="B160" s="13"/>
      <c r="C160" s="13"/>
      <c r="D160" s="13"/>
      <c r="E160" s="13"/>
      <c r="F160" s="13"/>
      <c r="G160" s="13"/>
      <c r="H160" s="43"/>
      <c r="I160" s="43"/>
      <c r="J160" s="43"/>
      <c r="K160" s="43"/>
      <c r="L160" s="43"/>
    </row>
    <row r="161" spans="1:12" s="39" customFormat="1" ht="18.5" x14ac:dyDescent="0.45">
      <c r="A161" s="13"/>
      <c r="B161" s="13"/>
      <c r="C161" s="13"/>
      <c r="D161" s="13"/>
      <c r="E161" s="13"/>
      <c r="F161" s="13"/>
      <c r="G161" s="13"/>
      <c r="H161" s="43"/>
      <c r="I161" s="43"/>
      <c r="J161" s="43"/>
      <c r="K161" s="43"/>
      <c r="L161" s="43"/>
    </row>
    <row r="162" spans="1:12" s="39" customFormat="1" ht="18.5" x14ac:dyDescent="0.45">
      <c r="A162" s="13"/>
      <c r="B162" s="13"/>
      <c r="C162" s="13"/>
      <c r="D162" s="13"/>
      <c r="E162" s="13"/>
      <c r="F162" s="13"/>
      <c r="G162" s="13"/>
      <c r="H162" s="43"/>
      <c r="I162" s="43"/>
      <c r="J162" s="43"/>
      <c r="K162" s="43"/>
      <c r="L162" s="43"/>
    </row>
    <row r="163" spans="1:12" s="39" customFormat="1" ht="18.5" x14ac:dyDescent="0.45">
      <c r="A163" s="13"/>
      <c r="B163" s="13"/>
      <c r="C163" s="13"/>
      <c r="D163" s="13"/>
      <c r="E163" s="13"/>
      <c r="F163" s="13"/>
      <c r="G163" s="13"/>
      <c r="H163" s="43"/>
      <c r="I163" s="43"/>
      <c r="J163" s="43"/>
      <c r="K163" s="43"/>
      <c r="L163" s="43"/>
    </row>
    <row r="164" spans="1:12" s="39" customFormat="1" ht="18.5" x14ac:dyDescent="0.45">
      <c r="A164" s="13"/>
      <c r="B164" s="13"/>
      <c r="C164" s="13"/>
      <c r="D164" s="13"/>
      <c r="E164" s="13"/>
      <c r="F164" s="13"/>
      <c r="G164" s="13"/>
      <c r="H164" s="43"/>
      <c r="I164" s="43"/>
      <c r="J164" s="43"/>
      <c r="K164" s="43"/>
      <c r="L164" s="43"/>
    </row>
    <row r="165" spans="1:12" s="39" customFormat="1" ht="18.5" x14ac:dyDescent="0.45">
      <c r="A165" s="13"/>
      <c r="B165" s="13"/>
      <c r="C165" s="13"/>
      <c r="D165" s="13"/>
      <c r="E165" s="13"/>
      <c r="F165" s="13"/>
      <c r="G165" s="13"/>
      <c r="H165" s="43"/>
      <c r="I165" s="43"/>
      <c r="J165" s="43"/>
      <c r="K165" s="43"/>
      <c r="L165" s="43"/>
    </row>
    <row r="166" spans="1:12" s="39" customFormat="1" ht="18.5" x14ac:dyDescent="0.45">
      <c r="A166" s="13"/>
      <c r="B166" s="13"/>
      <c r="C166" s="13"/>
      <c r="D166" s="13"/>
      <c r="E166" s="13"/>
      <c r="F166" s="13"/>
      <c r="G166" s="13"/>
      <c r="H166" s="43"/>
      <c r="I166" s="43"/>
      <c r="J166" s="43"/>
      <c r="K166" s="43"/>
      <c r="L166" s="43"/>
    </row>
    <row r="167" spans="1:12" s="39" customFormat="1" ht="18.5" x14ac:dyDescent="0.45">
      <c r="A167" s="13"/>
      <c r="B167" s="13"/>
      <c r="C167" s="13"/>
      <c r="D167" s="13"/>
      <c r="E167" s="13"/>
      <c r="F167" s="13"/>
      <c r="G167" s="13"/>
      <c r="H167" s="43"/>
      <c r="I167" s="43"/>
      <c r="J167" s="43"/>
      <c r="K167" s="43"/>
      <c r="L167" s="43"/>
    </row>
    <row r="168" spans="1:12" s="39" customFormat="1" ht="18.5" x14ac:dyDescent="0.45">
      <c r="A168" s="13"/>
      <c r="B168" s="13"/>
      <c r="C168" s="13"/>
      <c r="D168" s="13"/>
      <c r="E168" s="13"/>
      <c r="F168" s="13"/>
      <c r="G168" s="13"/>
      <c r="H168" s="43"/>
      <c r="I168" s="43"/>
      <c r="J168" s="43"/>
      <c r="K168" s="43"/>
      <c r="L168" s="43"/>
    </row>
    <row r="169" spans="1:12" s="39" customFormat="1" ht="18.5" x14ac:dyDescent="0.45">
      <c r="A169" s="13"/>
      <c r="B169" s="13"/>
      <c r="C169" s="13"/>
      <c r="D169" s="13"/>
      <c r="E169" s="13"/>
      <c r="F169" s="13"/>
      <c r="G169" s="13"/>
      <c r="H169" s="43"/>
      <c r="I169" s="43"/>
      <c r="J169" s="43"/>
      <c r="K169" s="43"/>
      <c r="L169" s="43"/>
    </row>
    <row r="170" spans="1:12" s="39" customFormat="1" ht="18.5" x14ac:dyDescent="0.45">
      <c r="A170" s="13"/>
      <c r="B170" s="13"/>
      <c r="C170" s="13"/>
      <c r="D170" s="13"/>
      <c r="E170" s="13"/>
      <c r="F170" s="13"/>
      <c r="G170" s="13"/>
      <c r="H170" s="43"/>
      <c r="I170" s="43"/>
      <c r="J170" s="43"/>
      <c r="K170" s="43"/>
      <c r="L170" s="43"/>
    </row>
    <row r="171" spans="1:12" s="39" customFormat="1" ht="18.5" x14ac:dyDescent="0.45">
      <c r="A171" s="13"/>
      <c r="B171" s="13"/>
      <c r="C171" s="13"/>
      <c r="D171" s="13"/>
      <c r="E171" s="13"/>
      <c r="F171" s="13"/>
      <c r="G171" s="13"/>
      <c r="H171" s="43"/>
      <c r="I171" s="43"/>
      <c r="J171" s="43"/>
      <c r="K171" s="43"/>
      <c r="L171" s="43"/>
    </row>
    <row r="172" spans="1:12" s="39" customFormat="1" ht="18.5" x14ac:dyDescent="0.45">
      <c r="A172" s="13"/>
      <c r="B172" s="13"/>
      <c r="C172" s="13"/>
      <c r="D172" s="13"/>
      <c r="E172" s="13"/>
      <c r="F172" s="13"/>
      <c r="G172" s="13"/>
      <c r="H172" s="43"/>
      <c r="I172" s="43"/>
      <c r="J172" s="43"/>
      <c r="K172" s="43"/>
      <c r="L172" s="43"/>
    </row>
    <row r="173" spans="1:12" s="39" customFormat="1" ht="18.5" x14ac:dyDescent="0.45">
      <c r="A173" s="13"/>
      <c r="B173" s="13"/>
      <c r="C173" s="13"/>
      <c r="D173" s="13"/>
      <c r="E173" s="13"/>
      <c r="F173" s="13"/>
      <c r="G173" s="13"/>
      <c r="H173" s="43"/>
      <c r="I173" s="43"/>
      <c r="J173" s="43"/>
      <c r="K173" s="43"/>
      <c r="L173" s="43"/>
    </row>
    <row r="174" spans="1:12" s="39" customFormat="1" ht="18.5" x14ac:dyDescent="0.45">
      <c r="A174" s="13"/>
      <c r="B174" s="13"/>
      <c r="C174" s="13"/>
      <c r="D174" s="13"/>
      <c r="E174" s="13"/>
      <c r="F174" s="13"/>
      <c r="G174" s="13"/>
      <c r="H174" s="43"/>
      <c r="I174" s="43"/>
      <c r="J174" s="43"/>
      <c r="K174" s="43"/>
      <c r="L174" s="43"/>
    </row>
    <row r="175" spans="1:12" s="39" customFormat="1" ht="18.5" x14ac:dyDescent="0.45">
      <c r="A175" s="13"/>
      <c r="B175" s="13"/>
      <c r="C175" s="13"/>
      <c r="D175" s="13"/>
      <c r="E175" s="13"/>
      <c r="F175" s="13"/>
      <c r="G175" s="13"/>
      <c r="H175" s="43"/>
      <c r="I175" s="43"/>
      <c r="J175" s="43"/>
      <c r="K175" s="43"/>
      <c r="L175" s="43"/>
    </row>
    <row r="176" spans="1:12" s="39" customFormat="1" ht="18.5" x14ac:dyDescent="0.45">
      <c r="A176" s="13"/>
      <c r="B176" s="13"/>
      <c r="C176" s="13"/>
      <c r="D176" s="13"/>
      <c r="E176" s="13"/>
      <c r="F176" s="13"/>
      <c r="G176" s="13"/>
      <c r="H176" s="43"/>
      <c r="I176" s="43"/>
      <c r="J176" s="43"/>
      <c r="K176" s="43"/>
      <c r="L176" s="43"/>
    </row>
    <row r="177" spans="1:12" s="39" customFormat="1" ht="18.5" x14ac:dyDescent="0.45">
      <c r="A177" s="13"/>
      <c r="B177" s="13"/>
      <c r="C177" s="13"/>
      <c r="D177" s="13"/>
      <c r="E177" s="13"/>
      <c r="F177" s="13"/>
      <c r="G177" s="13"/>
      <c r="H177" s="43"/>
      <c r="I177" s="43"/>
      <c r="J177" s="43"/>
      <c r="K177" s="43"/>
      <c r="L177" s="43"/>
    </row>
    <row r="178" spans="1:12" s="39" customFormat="1" ht="18.5" x14ac:dyDescent="0.45">
      <c r="A178" s="13"/>
      <c r="B178" s="13"/>
      <c r="C178" s="13"/>
      <c r="D178" s="13"/>
      <c r="E178" s="13"/>
      <c r="F178" s="13"/>
      <c r="G178" s="13"/>
      <c r="H178" s="43"/>
      <c r="I178" s="43"/>
      <c r="J178" s="43"/>
      <c r="K178" s="43"/>
      <c r="L178" s="43"/>
    </row>
    <row r="179" spans="1:12" s="39" customFormat="1" ht="18.5" x14ac:dyDescent="0.45">
      <c r="A179" s="13"/>
      <c r="B179" s="13"/>
      <c r="C179" s="13"/>
      <c r="D179" s="13"/>
      <c r="E179" s="13"/>
      <c r="F179" s="13"/>
      <c r="G179" s="13"/>
      <c r="H179" s="43"/>
      <c r="I179" s="43"/>
      <c r="J179" s="43"/>
      <c r="K179" s="43"/>
      <c r="L179" s="43"/>
    </row>
    <row r="180" spans="1:12" s="39" customFormat="1" ht="18.5" x14ac:dyDescent="0.45">
      <c r="A180" s="13"/>
      <c r="B180" s="13"/>
      <c r="C180" s="13"/>
      <c r="D180" s="13"/>
      <c r="E180" s="13"/>
      <c r="F180" s="13"/>
      <c r="G180" s="13"/>
      <c r="H180" s="43"/>
      <c r="I180" s="43"/>
      <c r="J180" s="43"/>
      <c r="K180" s="43"/>
      <c r="L180" s="43"/>
    </row>
    <row r="181" spans="1:12" s="39" customFormat="1" ht="18.5" x14ac:dyDescent="0.45">
      <c r="A181" s="13"/>
      <c r="B181" s="13"/>
      <c r="C181" s="13"/>
      <c r="D181" s="13"/>
      <c r="E181" s="13"/>
      <c r="F181" s="13"/>
      <c r="G181" s="13"/>
      <c r="H181" s="43"/>
      <c r="I181" s="43"/>
      <c r="J181" s="43"/>
      <c r="K181" s="43"/>
      <c r="L181" s="43"/>
    </row>
    <row r="182" spans="1:12" s="39" customFormat="1" ht="18.5" x14ac:dyDescent="0.45">
      <c r="A182" s="13"/>
      <c r="B182" s="13"/>
      <c r="C182" s="13"/>
      <c r="D182" s="13"/>
      <c r="E182" s="13"/>
      <c r="F182" s="13"/>
      <c r="G182" s="13"/>
      <c r="H182" s="43"/>
      <c r="I182" s="43"/>
      <c r="J182" s="43"/>
      <c r="K182" s="43"/>
      <c r="L182" s="43"/>
    </row>
    <row r="183" spans="1:12" s="39" customFormat="1" ht="18.5" x14ac:dyDescent="0.45">
      <c r="A183" s="13"/>
      <c r="B183" s="13"/>
      <c r="C183" s="13"/>
      <c r="D183" s="13"/>
      <c r="E183" s="13"/>
      <c r="F183" s="13"/>
      <c r="G183" s="13"/>
      <c r="H183" s="43"/>
      <c r="I183" s="43"/>
      <c r="J183" s="43"/>
      <c r="K183" s="43"/>
      <c r="L183" s="43"/>
    </row>
    <row r="184" spans="1:12" s="39" customFormat="1" ht="18.5" x14ac:dyDescent="0.45">
      <c r="A184" s="13"/>
      <c r="B184" s="13"/>
      <c r="C184" s="13"/>
      <c r="D184" s="13"/>
      <c r="E184" s="13"/>
      <c r="F184" s="13"/>
      <c r="G184" s="13"/>
      <c r="H184" s="43"/>
      <c r="I184" s="43"/>
      <c r="J184" s="43"/>
      <c r="K184" s="43"/>
      <c r="L184" s="43"/>
    </row>
    <row r="185" spans="1:12" s="39" customFormat="1" ht="18.5" x14ac:dyDescent="0.45">
      <c r="A185" s="13"/>
      <c r="B185" s="13"/>
      <c r="C185" s="13"/>
      <c r="D185" s="13"/>
      <c r="E185" s="13"/>
      <c r="F185" s="13"/>
      <c r="G185" s="13"/>
      <c r="H185" s="43"/>
      <c r="I185" s="43"/>
      <c r="J185" s="43"/>
      <c r="K185" s="43"/>
      <c r="L185" s="43"/>
    </row>
    <row r="186" spans="1:12" s="39" customFormat="1" ht="18.5" x14ac:dyDescent="0.45">
      <c r="A186" s="13"/>
      <c r="B186" s="13"/>
      <c r="C186" s="13"/>
      <c r="D186" s="13"/>
      <c r="E186" s="13"/>
      <c r="F186" s="13"/>
      <c r="G186" s="13"/>
      <c r="H186" s="43"/>
      <c r="I186" s="43"/>
      <c r="J186" s="43"/>
      <c r="K186" s="43"/>
      <c r="L186" s="43"/>
    </row>
    <row r="187" spans="1:12" s="39" customFormat="1" ht="18.5" x14ac:dyDescent="0.45">
      <c r="A187" s="13"/>
      <c r="B187" s="13"/>
      <c r="C187" s="13"/>
      <c r="D187" s="13"/>
      <c r="E187" s="13"/>
      <c r="F187" s="13"/>
      <c r="G187" s="13"/>
      <c r="H187" s="43"/>
      <c r="I187" s="43"/>
      <c r="J187" s="43"/>
      <c r="K187" s="43"/>
      <c r="L187" s="43"/>
    </row>
    <row r="188" spans="1:12" s="39" customFormat="1" ht="18.5" x14ac:dyDescent="0.45">
      <c r="A188" s="13"/>
      <c r="B188" s="13"/>
      <c r="C188" s="13"/>
      <c r="D188" s="13"/>
      <c r="E188" s="13"/>
      <c r="F188" s="13"/>
      <c r="G188" s="13"/>
      <c r="H188" s="43"/>
      <c r="I188" s="43"/>
      <c r="J188" s="43"/>
      <c r="K188" s="43"/>
      <c r="L188" s="43"/>
    </row>
    <row r="189" spans="1:12" s="39" customFormat="1" ht="18.5" x14ac:dyDescent="0.45">
      <c r="A189" s="13"/>
      <c r="B189" s="13"/>
      <c r="C189" s="13"/>
      <c r="D189" s="13"/>
      <c r="E189" s="13"/>
      <c r="F189" s="13"/>
      <c r="G189" s="13"/>
      <c r="H189" s="43"/>
      <c r="I189" s="43"/>
      <c r="J189" s="43"/>
      <c r="K189" s="43"/>
      <c r="L189" s="43"/>
    </row>
    <row r="190" spans="1:12" s="39" customFormat="1" ht="18.5" x14ac:dyDescent="0.45">
      <c r="A190" s="13"/>
      <c r="B190" s="13"/>
      <c r="C190" s="13"/>
      <c r="D190" s="13"/>
      <c r="E190" s="13"/>
      <c r="F190" s="13"/>
      <c r="G190" s="13"/>
      <c r="H190" s="43"/>
      <c r="I190" s="43"/>
      <c r="J190" s="43"/>
      <c r="K190" s="43"/>
      <c r="L190" s="43"/>
    </row>
    <row r="191" spans="1:12" s="39" customFormat="1" ht="18.5" x14ac:dyDescent="0.45">
      <c r="A191" s="13"/>
      <c r="B191" s="13"/>
      <c r="C191" s="13"/>
      <c r="D191" s="13"/>
      <c r="E191" s="13"/>
      <c r="F191" s="13"/>
      <c r="G191" s="13"/>
      <c r="H191" s="43"/>
      <c r="I191" s="43"/>
      <c r="J191" s="43"/>
      <c r="K191" s="43"/>
      <c r="L191" s="43"/>
    </row>
    <row r="192" spans="1:12" s="39" customFormat="1" ht="18.5" x14ac:dyDescent="0.45">
      <c r="A192" s="13"/>
      <c r="B192" s="13"/>
      <c r="C192" s="13"/>
      <c r="D192" s="13"/>
      <c r="E192" s="13"/>
      <c r="F192" s="13"/>
      <c r="G192" s="13"/>
      <c r="H192" s="43"/>
      <c r="I192" s="43"/>
      <c r="J192" s="43"/>
      <c r="K192" s="43"/>
      <c r="L192" s="43"/>
    </row>
    <row r="193" spans="1:12" s="39" customFormat="1" ht="18.5" x14ac:dyDescent="0.45">
      <c r="A193" s="13"/>
      <c r="B193" s="13"/>
      <c r="C193" s="13"/>
      <c r="D193" s="13"/>
      <c r="E193" s="13"/>
      <c r="F193" s="13"/>
      <c r="G193" s="13"/>
      <c r="H193" s="43"/>
      <c r="I193" s="43"/>
      <c r="J193" s="43"/>
      <c r="K193" s="43"/>
      <c r="L193" s="43"/>
    </row>
    <row r="194" spans="1:12" s="39" customFormat="1" ht="18.5" x14ac:dyDescent="0.45">
      <c r="A194" s="13"/>
      <c r="B194" s="13"/>
      <c r="C194" s="13"/>
      <c r="D194" s="13"/>
      <c r="E194" s="13"/>
      <c r="F194" s="13"/>
      <c r="G194" s="13"/>
      <c r="H194" s="43"/>
      <c r="I194" s="43"/>
      <c r="J194" s="43"/>
      <c r="K194" s="43"/>
      <c r="L194" s="43"/>
    </row>
    <row r="195" spans="1:12" s="39" customFormat="1" ht="18.5" x14ac:dyDescent="0.45">
      <c r="A195" s="13"/>
      <c r="B195" s="13"/>
      <c r="C195" s="13"/>
      <c r="D195" s="13"/>
      <c r="E195" s="13"/>
      <c r="F195" s="13"/>
      <c r="G195" s="13"/>
      <c r="H195" s="43"/>
      <c r="I195" s="43"/>
      <c r="J195" s="43"/>
      <c r="K195" s="43"/>
      <c r="L195" s="43"/>
    </row>
    <row r="196" spans="1:12" s="39" customFormat="1" ht="18.5" x14ac:dyDescent="0.45">
      <c r="A196" s="13"/>
      <c r="B196" s="13"/>
      <c r="C196" s="13"/>
      <c r="D196" s="13"/>
      <c r="E196" s="13"/>
      <c r="F196" s="13"/>
      <c r="G196" s="13"/>
      <c r="H196" s="43"/>
      <c r="I196" s="43"/>
      <c r="J196" s="43"/>
      <c r="K196" s="43"/>
      <c r="L196" s="43"/>
    </row>
    <row r="197" spans="1:12" s="39" customFormat="1" ht="18.5" x14ac:dyDescent="0.45">
      <c r="A197" s="13"/>
      <c r="B197" s="13"/>
      <c r="C197" s="13"/>
      <c r="D197" s="13"/>
      <c r="E197" s="13"/>
      <c r="F197" s="13"/>
      <c r="G197" s="13"/>
      <c r="H197" s="43"/>
      <c r="I197" s="43"/>
      <c r="J197" s="43"/>
      <c r="K197" s="43"/>
      <c r="L197" s="43"/>
    </row>
    <row r="198" spans="1:12" s="39" customFormat="1" ht="18.5" x14ac:dyDescent="0.45">
      <c r="A198" s="13"/>
      <c r="B198" s="13"/>
      <c r="C198" s="13"/>
      <c r="D198" s="13"/>
      <c r="E198" s="13"/>
      <c r="F198" s="13"/>
      <c r="G198" s="13"/>
      <c r="H198" s="43"/>
      <c r="I198" s="43"/>
      <c r="J198" s="43"/>
      <c r="K198" s="43"/>
      <c r="L198" s="43"/>
    </row>
    <row r="199" spans="1:12" s="39" customFormat="1" ht="18.5" x14ac:dyDescent="0.45">
      <c r="A199" s="13"/>
      <c r="B199" s="13"/>
      <c r="C199" s="13"/>
      <c r="D199" s="13"/>
      <c r="E199" s="13"/>
      <c r="F199" s="13"/>
      <c r="G199" s="13"/>
      <c r="H199" s="43"/>
      <c r="I199" s="43"/>
      <c r="J199" s="43"/>
      <c r="K199" s="43"/>
      <c r="L199" s="43"/>
    </row>
    <row r="200" spans="1:12" s="39" customFormat="1" ht="18.5" x14ac:dyDescent="0.45">
      <c r="A200" s="13"/>
      <c r="B200" s="13"/>
      <c r="C200" s="13"/>
      <c r="D200" s="13"/>
      <c r="E200" s="13"/>
      <c r="F200" s="13"/>
      <c r="G200" s="13"/>
      <c r="H200" s="43"/>
      <c r="I200" s="43"/>
      <c r="J200" s="43"/>
      <c r="K200" s="43"/>
      <c r="L200" s="43"/>
    </row>
    <row r="201" spans="1:12" s="39" customFormat="1" ht="18.5" x14ac:dyDescent="0.45">
      <c r="A201" s="13"/>
      <c r="B201" s="13"/>
      <c r="C201" s="13"/>
      <c r="D201" s="13"/>
      <c r="E201" s="13"/>
      <c r="F201" s="13"/>
      <c r="G201" s="13"/>
      <c r="H201" s="43"/>
      <c r="I201" s="43"/>
      <c r="J201" s="43"/>
      <c r="K201" s="43"/>
      <c r="L201" s="43"/>
    </row>
    <row r="202" spans="1:12" s="39" customFormat="1" ht="18.5" x14ac:dyDescent="0.45">
      <c r="A202" s="13"/>
      <c r="B202" s="13"/>
      <c r="C202" s="13"/>
      <c r="D202" s="13"/>
      <c r="E202" s="13"/>
      <c r="F202" s="13"/>
      <c r="G202" s="13"/>
      <c r="H202" s="43"/>
      <c r="I202" s="43"/>
      <c r="J202" s="43"/>
      <c r="K202" s="43"/>
      <c r="L202" s="43"/>
    </row>
    <row r="203" spans="1:12" s="39" customFormat="1" ht="18.5" x14ac:dyDescent="0.45">
      <c r="A203" s="13"/>
      <c r="B203" s="13"/>
      <c r="C203" s="13"/>
      <c r="D203" s="13"/>
      <c r="E203" s="13"/>
      <c r="F203" s="13"/>
      <c r="G203" s="13"/>
      <c r="H203" s="43"/>
      <c r="I203" s="43"/>
      <c r="J203" s="43"/>
      <c r="K203" s="43"/>
      <c r="L203" s="43"/>
    </row>
    <row r="204" spans="1:12" s="39" customFormat="1" ht="18.5" x14ac:dyDescent="0.45">
      <c r="A204" s="13"/>
      <c r="B204" s="13"/>
      <c r="C204" s="13"/>
      <c r="D204" s="13"/>
      <c r="E204" s="13"/>
      <c r="F204" s="13"/>
      <c r="G204" s="13"/>
      <c r="H204" s="43"/>
      <c r="I204" s="43"/>
      <c r="J204" s="43"/>
      <c r="K204" s="43"/>
      <c r="L204" s="43"/>
    </row>
    <row r="205" spans="1:12" s="39" customFormat="1" ht="18.5" x14ac:dyDescent="0.45">
      <c r="A205" s="13"/>
      <c r="B205" s="13"/>
      <c r="C205" s="13"/>
      <c r="D205" s="13"/>
      <c r="E205" s="13"/>
      <c r="F205" s="13"/>
      <c r="G205" s="13"/>
      <c r="H205" s="43"/>
      <c r="I205" s="43"/>
      <c r="J205" s="43"/>
      <c r="K205" s="43"/>
      <c r="L205" s="43"/>
    </row>
    <row r="206" spans="1:12" s="39" customFormat="1" ht="18.5" x14ac:dyDescent="0.45">
      <c r="A206" s="13"/>
      <c r="B206" s="13"/>
      <c r="C206" s="13"/>
      <c r="D206" s="13"/>
      <c r="E206" s="13"/>
      <c r="F206" s="13"/>
      <c r="G206" s="13"/>
      <c r="H206" s="43"/>
      <c r="I206" s="43"/>
      <c r="J206" s="43"/>
      <c r="K206" s="43"/>
      <c r="L206" s="43"/>
    </row>
    <row r="207" spans="1:12" s="39" customFormat="1" ht="18.5" x14ac:dyDescent="0.45">
      <c r="A207" s="13"/>
      <c r="B207" s="13"/>
      <c r="C207" s="13"/>
      <c r="D207" s="13"/>
      <c r="E207" s="13"/>
      <c r="F207" s="13"/>
      <c r="G207" s="13"/>
      <c r="H207" s="43"/>
      <c r="I207" s="43"/>
      <c r="J207" s="43"/>
      <c r="K207" s="43"/>
      <c r="L207" s="43"/>
    </row>
    <row r="208" spans="1:12" s="39" customFormat="1" ht="18.5" x14ac:dyDescent="0.45">
      <c r="A208" s="13"/>
      <c r="B208" s="13"/>
      <c r="C208" s="13"/>
      <c r="D208" s="13"/>
      <c r="E208" s="13"/>
      <c r="F208" s="13"/>
      <c r="G208" s="13"/>
      <c r="H208" s="43"/>
      <c r="I208" s="43"/>
      <c r="J208" s="43"/>
      <c r="K208" s="43"/>
      <c r="L208" s="43"/>
    </row>
    <row r="209" spans="1:12" s="39" customFormat="1" ht="18.5" x14ac:dyDescent="0.45">
      <c r="A209" s="13"/>
      <c r="B209" s="13"/>
      <c r="C209" s="13"/>
      <c r="D209" s="13"/>
      <c r="E209" s="13"/>
      <c r="F209" s="13"/>
      <c r="G209" s="13"/>
      <c r="H209" s="43"/>
      <c r="I209" s="43"/>
      <c r="J209" s="43"/>
      <c r="K209" s="43"/>
      <c r="L209" s="43"/>
    </row>
    <row r="210" spans="1:12" s="39" customFormat="1" ht="18.5" x14ac:dyDescent="0.45">
      <c r="H210" s="43"/>
      <c r="I210" s="43"/>
      <c r="J210" s="43"/>
      <c r="K210" s="43"/>
      <c r="L210" s="43"/>
    </row>
    <row r="211" spans="1:12" s="39" customFormat="1" ht="18.5" x14ac:dyDescent="0.45">
      <c r="H211" s="43"/>
      <c r="I211" s="43"/>
      <c r="J211" s="43"/>
      <c r="K211" s="43"/>
      <c r="L211" s="43"/>
    </row>
    <row r="212" spans="1:12" s="39" customFormat="1" ht="18.5" x14ac:dyDescent="0.45">
      <c r="H212" s="43"/>
      <c r="I212" s="43"/>
      <c r="J212" s="43"/>
      <c r="K212" s="43"/>
      <c r="L212" s="43"/>
    </row>
    <row r="213" spans="1:12" s="39" customFormat="1" ht="18.5" x14ac:dyDescent="0.45">
      <c r="H213" s="43"/>
      <c r="I213" s="43"/>
      <c r="J213" s="43"/>
      <c r="K213" s="43"/>
      <c r="L213" s="43"/>
    </row>
    <row r="214" spans="1:12" s="39" customFormat="1" ht="18.5" x14ac:dyDescent="0.45">
      <c r="H214" s="43"/>
      <c r="I214" s="43"/>
      <c r="J214" s="43"/>
      <c r="K214" s="43"/>
      <c r="L214" s="43"/>
    </row>
    <row r="215" spans="1:12" s="39" customFormat="1" ht="18.5" x14ac:dyDescent="0.45">
      <c r="H215" s="43"/>
      <c r="I215" s="43"/>
      <c r="J215" s="43"/>
      <c r="K215" s="43"/>
      <c r="L215" s="43"/>
    </row>
    <row r="216" spans="1:12" s="39" customFormat="1" ht="18.5" x14ac:dyDescent="0.45">
      <c r="H216" s="43"/>
      <c r="I216" s="43"/>
      <c r="J216" s="43"/>
      <c r="K216" s="43"/>
      <c r="L216" s="43"/>
    </row>
    <row r="217" spans="1:12" s="39" customFormat="1" ht="18.5" x14ac:dyDescent="0.45">
      <c r="H217" s="43"/>
      <c r="I217" s="43"/>
      <c r="J217" s="43"/>
      <c r="K217" s="43"/>
      <c r="L217" s="43"/>
    </row>
    <row r="218" spans="1:12" s="39" customFormat="1" ht="18.5" x14ac:dyDescent="0.45">
      <c r="H218" s="43"/>
      <c r="I218" s="43"/>
      <c r="J218" s="43"/>
      <c r="K218" s="43"/>
      <c r="L218" s="43"/>
    </row>
    <row r="219" spans="1:12" s="39" customFormat="1" ht="18.5" x14ac:dyDescent="0.45"/>
    <row r="220" spans="1:12" s="39" customFormat="1" ht="18.5" x14ac:dyDescent="0.45"/>
    <row r="221" spans="1:12" s="39" customFormat="1" ht="18.5" x14ac:dyDescent="0.45"/>
    <row r="222" spans="1:12" s="39" customFormat="1" ht="18.5" x14ac:dyDescent="0.45"/>
    <row r="223" spans="1:12" s="39" customFormat="1" ht="18.5" x14ac:dyDescent="0.45"/>
    <row r="224" spans="1:12" s="39" customFormat="1" ht="18.5" x14ac:dyDescent="0.45"/>
  </sheetData>
  <mergeCells count="2">
    <mergeCell ref="F1:K1"/>
    <mergeCell ref="M1:Q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B4D4D-CEF2-42B6-B38B-293EDF927AF7}">
  <dimension ref="A1:Q2476"/>
  <sheetViews>
    <sheetView showGridLines="0" topLeftCell="A20" workbookViewId="0">
      <selection activeCell="F12" sqref="F12"/>
    </sheetView>
  </sheetViews>
  <sheetFormatPr defaultRowHeight="14.5" x14ac:dyDescent="0.35"/>
  <cols>
    <col min="1" max="1" width="10.81640625" customWidth="1"/>
    <col min="2" max="2" width="9.7265625" bestFit="1" customWidth="1"/>
    <col min="3" max="3" width="17.1796875" bestFit="1" customWidth="1"/>
    <col min="6" max="6" width="13.26953125" bestFit="1" customWidth="1"/>
  </cols>
  <sheetData>
    <row r="1" spans="1:17" ht="33" x14ac:dyDescent="0.7">
      <c r="A1" s="31" t="s">
        <v>168</v>
      </c>
      <c r="B1" s="32"/>
      <c r="C1" s="32"/>
      <c r="D1" s="32"/>
      <c r="E1" s="33"/>
      <c r="F1" s="224"/>
      <c r="G1" s="224"/>
      <c r="H1" s="224"/>
      <c r="I1" s="224"/>
      <c r="J1" s="224"/>
      <c r="K1" s="224"/>
      <c r="L1" s="36"/>
      <c r="M1" s="225"/>
      <c r="N1" s="225"/>
      <c r="O1" s="225"/>
      <c r="P1" s="225"/>
      <c r="Q1" s="225"/>
    </row>
    <row r="2" spans="1:17" ht="15.5" x14ac:dyDescent="0.35">
      <c r="A2" s="87" t="s">
        <v>318</v>
      </c>
      <c r="B2" s="32"/>
      <c r="C2" s="32"/>
      <c r="D2" s="32"/>
      <c r="E2" s="33"/>
      <c r="F2" s="33"/>
      <c r="G2" s="33"/>
      <c r="H2" s="35"/>
      <c r="I2" s="35"/>
      <c r="J2" s="35"/>
      <c r="K2" s="35"/>
      <c r="L2" s="35"/>
      <c r="M2" s="37"/>
      <c r="N2" s="37"/>
      <c r="O2" s="37"/>
      <c r="P2" s="37"/>
      <c r="Q2" s="37"/>
    </row>
    <row r="4" spans="1:17" x14ac:dyDescent="0.35">
      <c r="A4" s="111" t="s">
        <v>319</v>
      </c>
      <c r="B4" s="111" t="s">
        <v>320</v>
      </c>
      <c r="C4" s="111" t="s">
        <v>321</v>
      </c>
      <c r="F4" s="111" t="s">
        <v>325</v>
      </c>
      <c r="G4" s="111" t="s">
        <v>322</v>
      </c>
    </row>
    <row r="5" spans="1:17" x14ac:dyDescent="0.35">
      <c r="A5" t="s">
        <v>322</v>
      </c>
      <c r="B5" s="128">
        <v>45323</v>
      </c>
      <c r="C5">
        <v>31898.06</v>
      </c>
    </row>
    <row r="6" spans="1:17" x14ac:dyDescent="0.35">
      <c r="A6" t="s">
        <v>322</v>
      </c>
      <c r="B6" s="128">
        <v>45322</v>
      </c>
      <c r="C6">
        <v>31939.59</v>
      </c>
      <c r="F6" s="109" t="s">
        <v>323</v>
      </c>
      <c r="G6" s="105">
        <f>YEARFRAC(B2476,B5)</f>
        <v>9.9944444444444436</v>
      </c>
    </row>
    <row r="7" spans="1:17" x14ac:dyDescent="0.35">
      <c r="A7" t="s">
        <v>322</v>
      </c>
      <c r="B7" s="128">
        <v>45321</v>
      </c>
      <c r="C7">
        <v>31640.240000000002</v>
      </c>
    </row>
    <row r="8" spans="1:17" x14ac:dyDescent="0.35">
      <c r="A8" t="s">
        <v>322</v>
      </c>
      <c r="B8" s="128">
        <v>45320</v>
      </c>
      <c r="C8">
        <v>31957.05</v>
      </c>
      <c r="F8" s="109" t="s">
        <v>324</v>
      </c>
      <c r="G8" s="106">
        <f>_xlfn.RRI(G6,C2476,C5)</f>
        <v>0.15109567645678879</v>
      </c>
    </row>
    <row r="9" spans="1:17" x14ac:dyDescent="0.35">
      <c r="A9" t="s">
        <v>322</v>
      </c>
      <c r="B9" s="128">
        <v>45316</v>
      </c>
      <c r="C9">
        <v>31391.07</v>
      </c>
    </row>
    <row r="10" spans="1:17" x14ac:dyDescent="0.35">
      <c r="A10" t="s">
        <v>322</v>
      </c>
      <c r="B10" s="128">
        <v>45315</v>
      </c>
      <c r="C10">
        <v>31540.07</v>
      </c>
    </row>
    <row r="11" spans="1:17" x14ac:dyDescent="0.35">
      <c r="A11" t="s">
        <v>322</v>
      </c>
      <c r="B11" s="128">
        <v>45314</v>
      </c>
      <c r="C11">
        <v>31223.3</v>
      </c>
    </row>
    <row r="12" spans="1:17" x14ac:dyDescent="0.35">
      <c r="A12" t="s">
        <v>322</v>
      </c>
      <c r="B12" s="128">
        <v>45311</v>
      </c>
      <c r="C12">
        <v>31712.86</v>
      </c>
    </row>
    <row r="13" spans="1:17" x14ac:dyDescent="0.35">
      <c r="A13" t="s">
        <v>322</v>
      </c>
      <c r="B13" s="128">
        <v>45310</v>
      </c>
      <c r="C13">
        <v>31787.24</v>
      </c>
    </row>
    <row r="14" spans="1:17" x14ac:dyDescent="0.35">
      <c r="A14" t="s">
        <v>322</v>
      </c>
      <c r="B14" s="128">
        <v>45309</v>
      </c>
      <c r="C14">
        <v>31538.400000000001</v>
      </c>
    </row>
    <row r="15" spans="1:17" x14ac:dyDescent="0.35">
      <c r="A15" t="s">
        <v>322</v>
      </c>
      <c r="B15" s="128">
        <v>45308</v>
      </c>
      <c r="C15">
        <v>31699.64</v>
      </c>
    </row>
    <row r="16" spans="1:17" x14ac:dyDescent="0.35">
      <c r="A16" t="s">
        <v>322</v>
      </c>
      <c r="B16" s="128">
        <v>45307</v>
      </c>
      <c r="C16">
        <v>32376.1</v>
      </c>
    </row>
    <row r="17" spans="1:3" x14ac:dyDescent="0.35">
      <c r="A17" t="s">
        <v>322</v>
      </c>
      <c r="B17" s="128">
        <v>45306</v>
      </c>
      <c r="C17">
        <v>32471.8</v>
      </c>
    </row>
    <row r="18" spans="1:3" x14ac:dyDescent="0.35">
      <c r="A18" t="s">
        <v>322</v>
      </c>
      <c r="B18" s="128">
        <v>45303</v>
      </c>
      <c r="C18">
        <v>32173.66</v>
      </c>
    </row>
    <row r="19" spans="1:3" x14ac:dyDescent="0.35">
      <c r="A19" t="s">
        <v>322</v>
      </c>
      <c r="B19" s="128">
        <v>45302</v>
      </c>
      <c r="C19">
        <v>31810.18</v>
      </c>
    </row>
    <row r="20" spans="1:3" x14ac:dyDescent="0.35">
      <c r="A20" t="s">
        <v>322</v>
      </c>
      <c r="B20" s="128">
        <v>45301</v>
      </c>
      <c r="C20">
        <v>31768.3</v>
      </c>
    </row>
    <row r="21" spans="1:3" x14ac:dyDescent="0.35">
      <c r="A21" t="s">
        <v>322</v>
      </c>
      <c r="B21" s="128">
        <v>45300</v>
      </c>
      <c r="C21">
        <v>31659.81</v>
      </c>
    </row>
    <row r="22" spans="1:3" x14ac:dyDescent="0.35">
      <c r="A22" t="s">
        <v>322</v>
      </c>
      <c r="B22" s="128">
        <v>45299</v>
      </c>
      <c r="C22">
        <v>31613.01</v>
      </c>
    </row>
    <row r="23" spans="1:3" x14ac:dyDescent="0.35">
      <c r="A23" t="s">
        <v>322</v>
      </c>
      <c r="B23" s="128">
        <v>45296</v>
      </c>
      <c r="C23">
        <v>31903.69</v>
      </c>
    </row>
    <row r="24" spans="1:3" x14ac:dyDescent="0.35">
      <c r="A24" t="s">
        <v>322</v>
      </c>
      <c r="B24" s="128">
        <v>45295</v>
      </c>
      <c r="C24">
        <v>31826.97</v>
      </c>
    </row>
    <row r="25" spans="1:3" x14ac:dyDescent="0.35">
      <c r="A25" t="s">
        <v>322</v>
      </c>
      <c r="B25" s="128">
        <v>45294</v>
      </c>
      <c r="C25">
        <v>31619.360000000001</v>
      </c>
    </row>
    <row r="26" spans="1:3" x14ac:dyDescent="0.35">
      <c r="A26" t="s">
        <v>322</v>
      </c>
      <c r="B26" s="128">
        <v>45293</v>
      </c>
      <c r="C26">
        <v>31837.56</v>
      </c>
    </row>
    <row r="27" spans="1:3" x14ac:dyDescent="0.35">
      <c r="A27" t="s">
        <v>322</v>
      </c>
      <c r="B27" s="128">
        <v>45292</v>
      </c>
      <c r="C27">
        <v>31949.360000000001</v>
      </c>
    </row>
    <row r="28" spans="1:3" x14ac:dyDescent="0.35">
      <c r="A28" t="s">
        <v>322</v>
      </c>
      <c r="B28" s="128">
        <v>45289</v>
      </c>
      <c r="C28">
        <v>31933.93</v>
      </c>
    </row>
    <row r="29" spans="1:3" x14ac:dyDescent="0.35">
      <c r="A29" t="s">
        <v>322</v>
      </c>
      <c r="B29" s="128">
        <v>45288</v>
      </c>
      <c r="C29">
        <v>32003.47</v>
      </c>
    </row>
    <row r="30" spans="1:3" x14ac:dyDescent="0.35">
      <c r="A30" t="s">
        <v>322</v>
      </c>
      <c r="B30" s="128">
        <v>45287</v>
      </c>
      <c r="C30">
        <v>31821.31</v>
      </c>
    </row>
    <row r="31" spans="1:3" x14ac:dyDescent="0.35">
      <c r="A31" t="s">
        <v>322</v>
      </c>
      <c r="B31" s="128">
        <v>45286</v>
      </c>
      <c r="C31">
        <v>31507.69</v>
      </c>
    </row>
    <row r="32" spans="1:3" x14ac:dyDescent="0.35">
      <c r="A32" t="s">
        <v>322</v>
      </c>
      <c r="B32" s="128">
        <v>45282</v>
      </c>
      <c r="C32">
        <v>31372.6</v>
      </c>
    </row>
    <row r="33" spans="1:3" x14ac:dyDescent="0.35">
      <c r="A33" t="s">
        <v>322</v>
      </c>
      <c r="B33" s="128">
        <v>45281</v>
      </c>
      <c r="C33">
        <v>31233.93</v>
      </c>
    </row>
    <row r="34" spans="1:3" x14ac:dyDescent="0.35">
      <c r="A34" t="s">
        <v>322</v>
      </c>
      <c r="B34" s="128">
        <v>45280</v>
      </c>
      <c r="C34">
        <v>31079.759999999998</v>
      </c>
    </row>
    <row r="35" spans="1:3" x14ac:dyDescent="0.35">
      <c r="A35" t="s">
        <v>322</v>
      </c>
      <c r="B35" s="128">
        <v>45279</v>
      </c>
      <c r="C35">
        <v>31525</v>
      </c>
    </row>
    <row r="36" spans="1:3" x14ac:dyDescent="0.35">
      <c r="A36" t="s">
        <v>322</v>
      </c>
      <c r="B36" s="128">
        <v>45278</v>
      </c>
      <c r="C36">
        <v>31474.35</v>
      </c>
    </row>
    <row r="37" spans="1:3" x14ac:dyDescent="0.35">
      <c r="A37" t="s">
        <v>322</v>
      </c>
      <c r="B37" s="128">
        <v>45275</v>
      </c>
      <c r="C37">
        <v>31530.19</v>
      </c>
    </row>
    <row r="38" spans="1:3" x14ac:dyDescent="0.35">
      <c r="A38" t="s">
        <v>322</v>
      </c>
      <c r="B38" s="128">
        <v>45274</v>
      </c>
      <c r="C38">
        <v>31127.599999999999</v>
      </c>
    </row>
    <row r="39" spans="1:3" x14ac:dyDescent="0.35">
      <c r="A39" t="s">
        <v>322</v>
      </c>
      <c r="B39" s="128">
        <v>45273</v>
      </c>
      <c r="C39">
        <v>30750.95</v>
      </c>
    </row>
    <row r="40" spans="1:3" x14ac:dyDescent="0.35">
      <c r="A40" t="s">
        <v>322</v>
      </c>
      <c r="B40" s="128">
        <v>45272</v>
      </c>
      <c r="C40">
        <v>30721.59</v>
      </c>
    </row>
    <row r="41" spans="1:3" x14ac:dyDescent="0.35">
      <c r="A41" t="s">
        <v>322</v>
      </c>
      <c r="B41" s="128">
        <v>45271</v>
      </c>
      <c r="C41">
        <v>30854.9</v>
      </c>
    </row>
    <row r="42" spans="1:3" x14ac:dyDescent="0.35">
      <c r="A42" t="s">
        <v>322</v>
      </c>
      <c r="B42" s="128">
        <v>45268</v>
      </c>
      <c r="C42">
        <v>30814.15</v>
      </c>
    </row>
    <row r="43" spans="1:3" x14ac:dyDescent="0.35">
      <c r="A43" t="s">
        <v>322</v>
      </c>
      <c r="B43" s="128">
        <v>45267</v>
      </c>
      <c r="C43">
        <v>30713.86</v>
      </c>
    </row>
    <row r="44" spans="1:3" x14ac:dyDescent="0.35">
      <c r="A44" t="s">
        <v>322</v>
      </c>
      <c r="B44" s="128">
        <v>45266</v>
      </c>
      <c r="C44">
        <v>30767.599999999999</v>
      </c>
    </row>
    <row r="45" spans="1:3" x14ac:dyDescent="0.35">
      <c r="A45" t="s">
        <v>322</v>
      </c>
      <c r="B45" s="128">
        <v>45265</v>
      </c>
      <c r="C45">
        <v>30646.19</v>
      </c>
    </row>
    <row r="46" spans="1:3" x14ac:dyDescent="0.35">
      <c r="A46" t="s">
        <v>322</v>
      </c>
      <c r="B46" s="128">
        <v>45264</v>
      </c>
      <c r="C46">
        <v>30398.91</v>
      </c>
    </row>
    <row r="47" spans="1:3" x14ac:dyDescent="0.35">
      <c r="A47" t="s">
        <v>322</v>
      </c>
      <c r="B47" s="128">
        <v>45261</v>
      </c>
      <c r="C47">
        <v>29783.34</v>
      </c>
    </row>
    <row r="48" spans="1:3" x14ac:dyDescent="0.35">
      <c r="A48" t="s">
        <v>322</v>
      </c>
      <c r="B48" s="128">
        <v>45260</v>
      </c>
      <c r="C48">
        <v>29585.360000000001</v>
      </c>
    </row>
    <row r="49" spans="1:3" x14ac:dyDescent="0.35">
      <c r="A49" t="s">
        <v>322</v>
      </c>
      <c r="B49" s="128">
        <v>45259</v>
      </c>
      <c r="C49">
        <v>29531.63</v>
      </c>
    </row>
    <row r="50" spans="1:3" x14ac:dyDescent="0.35">
      <c r="A50" t="s">
        <v>322</v>
      </c>
      <c r="B50" s="128">
        <v>45258</v>
      </c>
      <c r="C50">
        <v>29227.61</v>
      </c>
    </row>
    <row r="51" spans="1:3" x14ac:dyDescent="0.35">
      <c r="A51" t="s">
        <v>322</v>
      </c>
      <c r="B51" s="128">
        <v>45254</v>
      </c>
      <c r="C51">
        <v>29087.95</v>
      </c>
    </row>
    <row r="52" spans="1:3" x14ac:dyDescent="0.35">
      <c r="A52" t="s">
        <v>322</v>
      </c>
      <c r="B52" s="128">
        <v>45253</v>
      </c>
      <c r="C52">
        <v>29098.74</v>
      </c>
    </row>
    <row r="53" spans="1:3" x14ac:dyDescent="0.35">
      <c r="A53" t="s">
        <v>322</v>
      </c>
      <c r="B53" s="128">
        <v>45252</v>
      </c>
      <c r="C53">
        <v>29113.18</v>
      </c>
    </row>
    <row r="54" spans="1:3" x14ac:dyDescent="0.35">
      <c r="A54" t="s">
        <v>322</v>
      </c>
      <c r="B54" s="128">
        <v>45251</v>
      </c>
      <c r="C54">
        <v>29071.360000000001</v>
      </c>
    </row>
    <row r="55" spans="1:3" x14ac:dyDescent="0.35">
      <c r="A55" t="s">
        <v>322</v>
      </c>
      <c r="B55" s="128">
        <v>45250</v>
      </c>
      <c r="C55">
        <v>28939.98</v>
      </c>
    </row>
    <row r="56" spans="1:3" x14ac:dyDescent="0.35">
      <c r="A56" t="s">
        <v>322</v>
      </c>
      <c r="B56" s="128">
        <v>45247</v>
      </c>
      <c r="C56">
        <v>28995.52</v>
      </c>
    </row>
    <row r="57" spans="1:3" x14ac:dyDescent="0.35">
      <c r="A57" t="s">
        <v>322</v>
      </c>
      <c r="B57" s="128">
        <v>45246</v>
      </c>
      <c r="C57">
        <v>29044.66</v>
      </c>
    </row>
    <row r="58" spans="1:3" x14ac:dyDescent="0.35">
      <c r="A58" t="s">
        <v>322</v>
      </c>
      <c r="B58" s="128">
        <v>45245</v>
      </c>
      <c r="C58">
        <v>28906.7</v>
      </c>
    </row>
    <row r="59" spans="1:3" x14ac:dyDescent="0.35">
      <c r="A59" t="s">
        <v>322</v>
      </c>
      <c r="B59" s="128">
        <v>45243</v>
      </c>
      <c r="C59">
        <v>28565.95</v>
      </c>
    </row>
    <row r="60" spans="1:3" x14ac:dyDescent="0.35">
      <c r="A60" t="s">
        <v>322</v>
      </c>
      <c r="B60" s="128">
        <v>45242</v>
      </c>
      <c r="C60">
        <v>28686.47</v>
      </c>
    </row>
    <row r="61" spans="1:3" x14ac:dyDescent="0.35">
      <c r="A61" t="s">
        <v>322</v>
      </c>
      <c r="B61" s="128">
        <v>45240</v>
      </c>
      <c r="C61">
        <v>28539.24</v>
      </c>
    </row>
    <row r="62" spans="1:3" x14ac:dyDescent="0.35">
      <c r="A62" t="s">
        <v>322</v>
      </c>
      <c r="B62" s="128">
        <v>45239</v>
      </c>
      <c r="C62">
        <v>28495.08</v>
      </c>
    </row>
    <row r="63" spans="1:3" x14ac:dyDescent="0.35">
      <c r="A63" t="s">
        <v>322</v>
      </c>
      <c r="B63" s="128">
        <v>45238</v>
      </c>
      <c r="C63">
        <v>28565.86</v>
      </c>
    </row>
    <row r="64" spans="1:3" x14ac:dyDescent="0.35">
      <c r="A64" t="s">
        <v>322</v>
      </c>
      <c r="B64" s="128">
        <v>45237</v>
      </c>
      <c r="C64">
        <v>28511.81</v>
      </c>
    </row>
    <row r="65" spans="1:3" x14ac:dyDescent="0.35">
      <c r="A65" t="s">
        <v>322</v>
      </c>
      <c r="B65" s="128">
        <v>45236</v>
      </c>
      <c r="C65">
        <v>28519.25</v>
      </c>
    </row>
    <row r="66" spans="1:3" x14ac:dyDescent="0.35">
      <c r="A66" t="s">
        <v>322</v>
      </c>
      <c r="B66" s="128">
        <v>45233</v>
      </c>
      <c r="C66">
        <v>28253.09</v>
      </c>
    </row>
    <row r="67" spans="1:3" x14ac:dyDescent="0.35">
      <c r="A67" t="s">
        <v>322</v>
      </c>
      <c r="B67" s="128">
        <v>45232</v>
      </c>
      <c r="C67">
        <v>28105.75</v>
      </c>
    </row>
    <row r="68" spans="1:3" x14ac:dyDescent="0.35">
      <c r="A68" t="s">
        <v>322</v>
      </c>
      <c r="B68" s="128">
        <v>45231</v>
      </c>
      <c r="C68">
        <v>27886.240000000002</v>
      </c>
    </row>
    <row r="69" spans="1:3" x14ac:dyDescent="0.35">
      <c r="A69" t="s">
        <v>322</v>
      </c>
      <c r="B69" s="128">
        <v>45230</v>
      </c>
      <c r="C69">
        <v>28017.360000000001</v>
      </c>
    </row>
    <row r="70" spans="1:3" x14ac:dyDescent="0.35">
      <c r="A70" t="s">
        <v>322</v>
      </c>
      <c r="B70" s="128">
        <v>45229</v>
      </c>
      <c r="C70">
        <v>28107.42</v>
      </c>
    </row>
    <row r="71" spans="1:3" x14ac:dyDescent="0.35">
      <c r="A71" t="s">
        <v>322</v>
      </c>
      <c r="B71" s="128">
        <v>45226</v>
      </c>
      <c r="C71">
        <v>27969.919999999998</v>
      </c>
    </row>
    <row r="72" spans="1:3" x14ac:dyDescent="0.35">
      <c r="A72" t="s">
        <v>322</v>
      </c>
      <c r="B72" s="128">
        <v>45225</v>
      </c>
      <c r="C72">
        <v>27690.29</v>
      </c>
    </row>
    <row r="73" spans="1:3" x14ac:dyDescent="0.35">
      <c r="A73" t="s">
        <v>322</v>
      </c>
      <c r="B73" s="128">
        <v>45224</v>
      </c>
      <c r="C73">
        <v>28079.26</v>
      </c>
    </row>
    <row r="74" spans="1:3" x14ac:dyDescent="0.35">
      <c r="A74" t="s">
        <v>322</v>
      </c>
      <c r="B74" s="128">
        <v>45222</v>
      </c>
      <c r="C74">
        <v>28291.96</v>
      </c>
    </row>
    <row r="75" spans="1:3" x14ac:dyDescent="0.35">
      <c r="A75" t="s">
        <v>322</v>
      </c>
      <c r="B75" s="128">
        <v>45219</v>
      </c>
      <c r="C75">
        <v>28674.78</v>
      </c>
    </row>
    <row r="76" spans="1:3" x14ac:dyDescent="0.35">
      <c r="A76" t="s">
        <v>322</v>
      </c>
      <c r="B76" s="128">
        <v>45218</v>
      </c>
      <c r="C76">
        <v>28790.880000000001</v>
      </c>
    </row>
    <row r="77" spans="1:3" x14ac:dyDescent="0.35">
      <c r="A77" t="s">
        <v>322</v>
      </c>
      <c r="B77" s="128">
        <v>45217</v>
      </c>
      <c r="C77">
        <v>28855.87</v>
      </c>
    </row>
    <row r="78" spans="1:3" x14ac:dyDescent="0.35">
      <c r="A78" t="s">
        <v>322</v>
      </c>
      <c r="B78" s="128">
        <v>45216</v>
      </c>
      <c r="C78">
        <v>29061.8</v>
      </c>
    </row>
    <row r="79" spans="1:3" x14ac:dyDescent="0.35">
      <c r="A79" t="s">
        <v>322</v>
      </c>
      <c r="B79" s="128">
        <v>45215</v>
      </c>
      <c r="C79">
        <v>28944.87</v>
      </c>
    </row>
    <row r="80" spans="1:3" x14ac:dyDescent="0.35">
      <c r="A80" t="s">
        <v>322</v>
      </c>
      <c r="B80" s="128">
        <v>45212</v>
      </c>
      <c r="C80">
        <v>28973.14</v>
      </c>
    </row>
    <row r="81" spans="1:3" x14ac:dyDescent="0.35">
      <c r="A81" t="s">
        <v>322</v>
      </c>
      <c r="B81" s="128">
        <v>45211</v>
      </c>
      <c r="C81">
        <v>29036.17</v>
      </c>
    </row>
    <row r="82" spans="1:3" x14ac:dyDescent="0.35">
      <c r="A82" t="s">
        <v>322</v>
      </c>
      <c r="B82" s="128">
        <v>45210</v>
      </c>
      <c r="C82">
        <v>29061.61</v>
      </c>
    </row>
    <row r="83" spans="1:3" x14ac:dyDescent="0.35">
      <c r="A83" t="s">
        <v>322</v>
      </c>
      <c r="B83" s="128">
        <v>45209</v>
      </c>
      <c r="C83">
        <v>28883.35</v>
      </c>
    </row>
    <row r="84" spans="1:3" x14ac:dyDescent="0.35">
      <c r="A84" t="s">
        <v>322</v>
      </c>
      <c r="B84" s="128">
        <v>45208</v>
      </c>
      <c r="C84">
        <v>28622.98</v>
      </c>
    </row>
    <row r="85" spans="1:3" x14ac:dyDescent="0.35">
      <c r="A85" t="s">
        <v>322</v>
      </c>
      <c r="B85" s="128">
        <v>45205</v>
      </c>
      <c r="C85">
        <v>28830.080000000002</v>
      </c>
    </row>
    <row r="86" spans="1:3" x14ac:dyDescent="0.35">
      <c r="A86" t="s">
        <v>322</v>
      </c>
      <c r="B86" s="128">
        <v>45204</v>
      </c>
      <c r="C86">
        <v>28671.97</v>
      </c>
    </row>
    <row r="87" spans="1:3" x14ac:dyDescent="0.35">
      <c r="A87" t="s">
        <v>322</v>
      </c>
      <c r="B87" s="128">
        <v>45203</v>
      </c>
      <c r="C87">
        <v>28511.13</v>
      </c>
    </row>
    <row r="88" spans="1:3" x14ac:dyDescent="0.35">
      <c r="A88" t="s">
        <v>322</v>
      </c>
      <c r="B88" s="128">
        <v>45202</v>
      </c>
      <c r="C88">
        <v>28647.040000000001</v>
      </c>
    </row>
    <row r="89" spans="1:3" x14ac:dyDescent="0.35">
      <c r="A89" t="s">
        <v>322</v>
      </c>
      <c r="B89" s="128">
        <v>45198</v>
      </c>
      <c r="C89">
        <v>28807.77</v>
      </c>
    </row>
    <row r="90" spans="1:3" x14ac:dyDescent="0.35">
      <c r="A90" t="s">
        <v>322</v>
      </c>
      <c r="B90" s="128">
        <v>45197</v>
      </c>
      <c r="C90">
        <v>28639.439999999999</v>
      </c>
    </row>
    <row r="91" spans="1:3" x14ac:dyDescent="0.35">
      <c r="A91" t="s">
        <v>322</v>
      </c>
      <c r="B91" s="128">
        <v>45196</v>
      </c>
      <c r="C91">
        <v>28922.43</v>
      </c>
    </row>
    <row r="92" spans="1:3" x14ac:dyDescent="0.35">
      <c r="A92" t="s">
        <v>322</v>
      </c>
      <c r="B92" s="128">
        <v>45195</v>
      </c>
      <c r="C92">
        <v>28846.47</v>
      </c>
    </row>
    <row r="93" spans="1:3" x14ac:dyDescent="0.35">
      <c r="A93" t="s">
        <v>322</v>
      </c>
      <c r="B93" s="128">
        <v>45194</v>
      </c>
      <c r="C93">
        <v>28860.9</v>
      </c>
    </row>
    <row r="94" spans="1:3" x14ac:dyDescent="0.35">
      <c r="A94" t="s">
        <v>322</v>
      </c>
      <c r="B94" s="128">
        <v>45191</v>
      </c>
      <c r="C94">
        <v>28860.46</v>
      </c>
    </row>
    <row r="95" spans="1:3" x14ac:dyDescent="0.35">
      <c r="A95" t="s">
        <v>322</v>
      </c>
      <c r="B95" s="128">
        <v>45190</v>
      </c>
      <c r="C95">
        <v>28960.36</v>
      </c>
    </row>
    <row r="96" spans="1:3" x14ac:dyDescent="0.35">
      <c r="A96" t="s">
        <v>322</v>
      </c>
      <c r="B96" s="128">
        <v>45189</v>
      </c>
      <c r="C96">
        <v>29193.69</v>
      </c>
    </row>
    <row r="97" spans="1:3" x14ac:dyDescent="0.35">
      <c r="A97" t="s">
        <v>322</v>
      </c>
      <c r="B97" s="128">
        <v>45187</v>
      </c>
      <c r="C97">
        <v>29533.91</v>
      </c>
    </row>
    <row r="98" spans="1:3" x14ac:dyDescent="0.35">
      <c r="A98" t="s">
        <v>322</v>
      </c>
      <c r="B98" s="128">
        <v>45184</v>
      </c>
      <c r="C98">
        <v>29620.53</v>
      </c>
    </row>
    <row r="99" spans="1:3" x14ac:dyDescent="0.35">
      <c r="A99" t="s">
        <v>322</v>
      </c>
      <c r="B99" s="128">
        <v>45183</v>
      </c>
      <c r="C99">
        <v>29489.61</v>
      </c>
    </row>
    <row r="100" spans="1:3" x14ac:dyDescent="0.35">
      <c r="A100" t="s">
        <v>322</v>
      </c>
      <c r="B100" s="128">
        <v>45182</v>
      </c>
      <c r="C100">
        <v>29441.040000000001</v>
      </c>
    </row>
    <row r="101" spans="1:3" x14ac:dyDescent="0.35">
      <c r="A101" t="s">
        <v>322</v>
      </c>
      <c r="B101" s="128">
        <v>45181</v>
      </c>
      <c r="C101">
        <v>29328.37</v>
      </c>
    </row>
    <row r="102" spans="1:3" x14ac:dyDescent="0.35">
      <c r="A102" t="s">
        <v>322</v>
      </c>
      <c r="B102" s="128">
        <v>45180</v>
      </c>
      <c r="C102">
        <v>29333</v>
      </c>
    </row>
    <row r="103" spans="1:3" x14ac:dyDescent="0.35">
      <c r="A103" t="s">
        <v>322</v>
      </c>
      <c r="B103" s="128">
        <v>45177</v>
      </c>
      <c r="C103">
        <v>29074.22</v>
      </c>
    </row>
    <row r="104" spans="1:3" x14ac:dyDescent="0.35">
      <c r="A104" t="s">
        <v>322</v>
      </c>
      <c r="B104" s="128">
        <v>45176</v>
      </c>
      <c r="C104">
        <v>28937.96</v>
      </c>
    </row>
    <row r="105" spans="1:3" x14ac:dyDescent="0.35">
      <c r="A105" t="s">
        <v>322</v>
      </c>
      <c r="B105" s="128">
        <v>45175</v>
      </c>
      <c r="C105">
        <v>28767.78</v>
      </c>
    </row>
    <row r="106" spans="1:3" x14ac:dyDescent="0.35">
      <c r="A106" t="s">
        <v>322</v>
      </c>
      <c r="B106" s="128">
        <v>45174</v>
      </c>
      <c r="C106">
        <v>28714.78</v>
      </c>
    </row>
    <row r="107" spans="1:3" x14ac:dyDescent="0.35">
      <c r="A107" t="s">
        <v>322</v>
      </c>
      <c r="B107" s="128">
        <v>45173</v>
      </c>
      <c r="C107">
        <v>28647.16</v>
      </c>
    </row>
    <row r="108" spans="1:3" x14ac:dyDescent="0.35">
      <c r="A108" t="s">
        <v>322</v>
      </c>
      <c r="B108" s="128">
        <v>45170</v>
      </c>
      <c r="C108">
        <v>28509.94</v>
      </c>
    </row>
    <row r="109" spans="1:3" x14ac:dyDescent="0.35">
      <c r="A109" t="s">
        <v>322</v>
      </c>
      <c r="B109" s="128">
        <v>45169</v>
      </c>
      <c r="C109">
        <v>28243.74</v>
      </c>
    </row>
    <row r="110" spans="1:3" x14ac:dyDescent="0.35">
      <c r="A110" t="s">
        <v>322</v>
      </c>
      <c r="B110" s="128">
        <v>45168</v>
      </c>
      <c r="C110">
        <v>28381.13</v>
      </c>
    </row>
    <row r="111" spans="1:3" x14ac:dyDescent="0.35">
      <c r="A111" t="s">
        <v>322</v>
      </c>
      <c r="B111" s="128">
        <v>45167</v>
      </c>
      <c r="C111">
        <v>28374.03</v>
      </c>
    </row>
    <row r="112" spans="1:3" x14ac:dyDescent="0.35">
      <c r="A112" t="s">
        <v>322</v>
      </c>
      <c r="B112" s="128">
        <v>45166</v>
      </c>
      <c r="C112">
        <v>28320.400000000001</v>
      </c>
    </row>
    <row r="113" spans="1:3" x14ac:dyDescent="0.35">
      <c r="A113" t="s">
        <v>322</v>
      </c>
      <c r="B113" s="128">
        <v>45163</v>
      </c>
      <c r="C113">
        <v>28261.32</v>
      </c>
    </row>
    <row r="114" spans="1:3" x14ac:dyDescent="0.35">
      <c r="A114" t="s">
        <v>322</v>
      </c>
      <c r="B114" s="128">
        <v>45162</v>
      </c>
      <c r="C114">
        <v>28438.68</v>
      </c>
    </row>
    <row r="115" spans="1:3" x14ac:dyDescent="0.35">
      <c r="A115" t="s">
        <v>322</v>
      </c>
      <c r="B115" s="128">
        <v>45161</v>
      </c>
      <c r="C115">
        <v>28522.76</v>
      </c>
    </row>
    <row r="116" spans="1:3" x14ac:dyDescent="0.35">
      <c r="A116" t="s">
        <v>322</v>
      </c>
      <c r="B116" s="128">
        <v>45160</v>
      </c>
      <c r="C116">
        <v>28453.01</v>
      </c>
    </row>
    <row r="117" spans="1:3" x14ac:dyDescent="0.35">
      <c r="A117" t="s">
        <v>322</v>
      </c>
      <c r="B117" s="128">
        <v>45159</v>
      </c>
      <c r="C117">
        <v>28448.83</v>
      </c>
    </row>
    <row r="118" spans="1:3" x14ac:dyDescent="0.35">
      <c r="A118" t="s">
        <v>322</v>
      </c>
      <c r="B118" s="128">
        <v>45156</v>
      </c>
      <c r="C118">
        <v>28316.31</v>
      </c>
    </row>
    <row r="119" spans="1:3" x14ac:dyDescent="0.35">
      <c r="A119" t="s">
        <v>322</v>
      </c>
      <c r="B119" s="128">
        <v>45155</v>
      </c>
      <c r="C119">
        <v>28393.16</v>
      </c>
    </row>
    <row r="120" spans="1:3" x14ac:dyDescent="0.35">
      <c r="A120" t="s">
        <v>322</v>
      </c>
      <c r="B120" s="128">
        <v>45154</v>
      </c>
      <c r="C120">
        <v>28539.38</v>
      </c>
    </row>
    <row r="121" spans="1:3" x14ac:dyDescent="0.35">
      <c r="A121" t="s">
        <v>322</v>
      </c>
      <c r="B121" s="128">
        <v>45152</v>
      </c>
      <c r="C121">
        <v>28494.78</v>
      </c>
    </row>
    <row r="122" spans="1:3" x14ac:dyDescent="0.35">
      <c r="A122" t="s">
        <v>322</v>
      </c>
      <c r="B122" s="128">
        <v>45149</v>
      </c>
      <c r="C122">
        <v>28482.45</v>
      </c>
    </row>
    <row r="123" spans="1:3" x14ac:dyDescent="0.35">
      <c r="A123" t="s">
        <v>322</v>
      </c>
      <c r="B123" s="128">
        <v>45148</v>
      </c>
      <c r="C123">
        <v>28638.92</v>
      </c>
    </row>
    <row r="124" spans="1:3" x14ac:dyDescent="0.35">
      <c r="A124" t="s">
        <v>322</v>
      </c>
      <c r="B124" s="128">
        <v>45147</v>
      </c>
      <c r="C124">
        <v>28769.97</v>
      </c>
    </row>
    <row r="125" spans="1:3" x14ac:dyDescent="0.35">
      <c r="A125" t="s">
        <v>322</v>
      </c>
      <c r="B125" s="128">
        <v>45146</v>
      </c>
      <c r="C125">
        <v>28661.08</v>
      </c>
    </row>
    <row r="126" spans="1:3" x14ac:dyDescent="0.35">
      <c r="A126" t="s">
        <v>322</v>
      </c>
      <c r="B126" s="128">
        <v>45145</v>
      </c>
      <c r="C126">
        <v>28699.8</v>
      </c>
    </row>
    <row r="127" spans="1:3" x14ac:dyDescent="0.35">
      <c r="A127" t="s">
        <v>322</v>
      </c>
      <c r="B127" s="128">
        <v>45142</v>
      </c>
      <c r="C127">
        <v>28582.25</v>
      </c>
    </row>
    <row r="128" spans="1:3" x14ac:dyDescent="0.35">
      <c r="A128" t="s">
        <v>322</v>
      </c>
      <c r="B128" s="128">
        <v>45141</v>
      </c>
      <c r="C128">
        <v>28383.279999999999</v>
      </c>
    </row>
    <row r="129" spans="1:3" x14ac:dyDescent="0.35">
      <c r="A129" t="s">
        <v>322</v>
      </c>
      <c r="B129" s="128">
        <v>45140</v>
      </c>
      <c r="C129">
        <v>28589.81</v>
      </c>
    </row>
    <row r="130" spans="1:3" x14ac:dyDescent="0.35">
      <c r="A130" t="s">
        <v>322</v>
      </c>
      <c r="B130" s="128">
        <v>45139</v>
      </c>
      <c r="C130">
        <v>28880.78</v>
      </c>
    </row>
    <row r="131" spans="1:3" x14ac:dyDescent="0.35">
      <c r="A131" t="s">
        <v>322</v>
      </c>
      <c r="B131" s="128">
        <v>45138</v>
      </c>
      <c r="C131">
        <v>28910.43</v>
      </c>
    </row>
    <row r="132" spans="1:3" x14ac:dyDescent="0.35">
      <c r="A132" t="s">
        <v>322</v>
      </c>
      <c r="B132" s="128">
        <v>45135</v>
      </c>
      <c r="C132">
        <v>28752.69</v>
      </c>
    </row>
    <row r="133" spans="1:3" x14ac:dyDescent="0.35">
      <c r="A133" t="s">
        <v>322</v>
      </c>
      <c r="B133" s="128">
        <v>45134</v>
      </c>
      <c r="C133">
        <v>28769.02</v>
      </c>
    </row>
    <row r="134" spans="1:3" x14ac:dyDescent="0.35">
      <c r="A134" t="s">
        <v>322</v>
      </c>
      <c r="B134" s="128">
        <v>45133</v>
      </c>
      <c r="C134">
        <v>28939.3</v>
      </c>
    </row>
    <row r="135" spans="1:3" x14ac:dyDescent="0.35">
      <c r="A135" t="s">
        <v>322</v>
      </c>
      <c r="B135" s="128">
        <v>45132</v>
      </c>
      <c r="C135">
        <v>28796.35</v>
      </c>
    </row>
    <row r="136" spans="1:3" x14ac:dyDescent="0.35">
      <c r="A136" t="s">
        <v>322</v>
      </c>
      <c r="B136" s="128">
        <v>45131</v>
      </c>
      <c r="C136">
        <v>28784.26</v>
      </c>
    </row>
    <row r="137" spans="1:3" x14ac:dyDescent="0.35">
      <c r="A137" t="s">
        <v>322</v>
      </c>
      <c r="B137" s="128">
        <v>45128</v>
      </c>
      <c r="C137">
        <v>28890.53</v>
      </c>
    </row>
    <row r="138" spans="1:3" x14ac:dyDescent="0.35">
      <c r="A138" t="s">
        <v>322</v>
      </c>
      <c r="B138" s="128">
        <v>45127</v>
      </c>
      <c r="C138">
        <v>29231.71</v>
      </c>
    </row>
    <row r="139" spans="1:3" x14ac:dyDescent="0.35">
      <c r="A139" t="s">
        <v>322</v>
      </c>
      <c r="B139" s="128">
        <v>45126</v>
      </c>
      <c r="C139">
        <v>29011.55</v>
      </c>
    </row>
    <row r="140" spans="1:3" x14ac:dyDescent="0.35">
      <c r="A140" t="s">
        <v>322</v>
      </c>
      <c r="B140" s="128">
        <v>45125</v>
      </c>
      <c r="C140">
        <v>28888.85</v>
      </c>
    </row>
    <row r="141" spans="1:3" x14ac:dyDescent="0.35">
      <c r="A141" t="s">
        <v>322</v>
      </c>
      <c r="B141" s="128">
        <v>45124</v>
      </c>
      <c r="C141">
        <v>28833.54</v>
      </c>
    </row>
    <row r="142" spans="1:3" x14ac:dyDescent="0.35">
      <c r="A142" t="s">
        <v>322</v>
      </c>
      <c r="B142" s="128">
        <v>45121</v>
      </c>
      <c r="C142">
        <v>28618.6</v>
      </c>
    </row>
    <row r="143" spans="1:3" x14ac:dyDescent="0.35">
      <c r="A143" t="s">
        <v>322</v>
      </c>
      <c r="B143" s="128">
        <v>45120</v>
      </c>
      <c r="C143">
        <v>28393.32</v>
      </c>
    </row>
    <row r="144" spans="1:3" x14ac:dyDescent="0.35">
      <c r="A144" t="s">
        <v>322</v>
      </c>
      <c r="B144" s="128">
        <v>45119</v>
      </c>
      <c r="C144">
        <v>28348.880000000001</v>
      </c>
    </row>
    <row r="145" spans="1:3" x14ac:dyDescent="0.35">
      <c r="A145" t="s">
        <v>322</v>
      </c>
      <c r="B145" s="128">
        <v>45118</v>
      </c>
      <c r="C145">
        <v>28429.42</v>
      </c>
    </row>
    <row r="146" spans="1:3" x14ac:dyDescent="0.35">
      <c r="A146" t="s">
        <v>322</v>
      </c>
      <c r="B146" s="128">
        <v>45117</v>
      </c>
      <c r="C146">
        <v>28304.66</v>
      </c>
    </row>
    <row r="147" spans="1:3" x14ac:dyDescent="0.35">
      <c r="A147" t="s">
        <v>322</v>
      </c>
      <c r="B147" s="128">
        <v>45114</v>
      </c>
      <c r="C147">
        <v>28269.43</v>
      </c>
    </row>
    <row r="148" spans="1:3" x14ac:dyDescent="0.35">
      <c r="A148" t="s">
        <v>322</v>
      </c>
      <c r="B148" s="128">
        <v>45113</v>
      </c>
      <c r="C148">
        <v>28510.39</v>
      </c>
    </row>
    <row r="149" spans="1:3" x14ac:dyDescent="0.35">
      <c r="A149" t="s">
        <v>322</v>
      </c>
      <c r="B149" s="128">
        <v>45112</v>
      </c>
      <c r="C149">
        <v>28365.96</v>
      </c>
    </row>
    <row r="150" spans="1:3" x14ac:dyDescent="0.35">
      <c r="A150" t="s">
        <v>322</v>
      </c>
      <c r="B150" s="128">
        <v>45111</v>
      </c>
      <c r="C150">
        <v>28352.01</v>
      </c>
    </row>
    <row r="151" spans="1:3" x14ac:dyDescent="0.35">
      <c r="A151" t="s">
        <v>322</v>
      </c>
      <c r="B151" s="128">
        <v>45110</v>
      </c>
      <c r="C151">
        <v>28254.9</v>
      </c>
    </row>
    <row r="152" spans="1:3" x14ac:dyDescent="0.35">
      <c r="A152" t="s">
        <v>322</v>
      </c>
      <c r="B152" s="128">
        <v>45107</v>
      </c>
      <c r="C152">
        <v>28059.65</v>
      </c>
    </row>
    <row r="153" spans="1:3" x14ac:dyDescent="0.35">
      <c r="A153" t="s">
        <v>322</v>
      </c>
      <c r="B153" s="128">
        <v>45105</v>
      </c>
      <c r="C153">
        <v>27739.64</v>
      </c>
    </row>
    <row r="154" spans="1:3" x14ac:dyDescent="0.35">
      <c r="A154" t="s">
        <v>322</v>
      </c>
      <c r="B154" s="128">
        <v>45104</v>
      </c>
      <c r="C154">
        <v>27513.45</v>
      </c>
    </row>
    <row r="155" spans="1:3" x14ac:dyDescent="0.35">
      <c r="A155" t="s">
        <v>322</v>
      </c>
      <c r="B155" s="128">
        <v>45103</v>
      </c>
      <c r="C155">
        <v>27328.91</v>
      </c>
    </row>
    <row r="156" spans="1:3" x14ac:dyDescent="0.35">
      <c r="A156" t="s">
        <v>322</v>
      </c>
      <c r="B156" s="128">
        <v>45100</v>
      </c>
      <c r="C156">
        <v>27291.39</v>
      </c>
    </row>
    <row r="157" spans="1:3" x14ac:dyDescent="0.35">
      <c r="A157" t="s">
        <v>322</v>
      </c>
      <c r="B157" s="128">
        <v>45099</v>
      </c>
      <c r="C157">
        <v>27445.97</v>
      </c>
    </row>
    <row r="158" spans="1:3" x14ac:dyDescent="0.35">
      <c r="A158" t="s">
        <v>322</v>
      </c>
      <c r="B158" s="128">
        <v>45098</v>
      </c>
      <c r="C158">
        <v>27571.14</v>
      </c>
    </row>
    <row r="159" spans="1:3" x14ac:dyDescent="0.35">
      <c r="A159" t="s">
        <v>322</v>
      </c>
      <c r="B159" s="128">
        <v>45097</v>
      </c>
      <c r="C159">
        <v>27512.41</v>
      </c>
    </row>
    <row r="160" spans="1:3" x14ac:dyDescent="0.35">
      <c r="A160" t="s">
        <v>322</v>
      </c>
      <c r="B160" s="128">
        <v>45096</v>
      </c>
      <c r="C160">
        <v>27422.87</v>
      </c>
    </row>
    <row r="161" spans="1:3" x14ac:dyDescent="0.35">
      <c r="A161" t="s">
        <v>322</v>
      </c>
      <c r="B161" s="128">
        <v>45093</v>
      </c>
      <c r="C161">
        <v>27519.439999999999</v>
      </c>
    </row>
    <row r="162" spans="1:3" x14ac:dyDescent="0.35">
      <c r="A162" t="s">
        <v>322</v>
      </c>
      <c r="B162" s="128">
        <v>45092</v>
      </c>
      <c r="C162">
        <v>27317.25</v>
      </c>
    </row>
    <row r="163" spans="1:3" x14ac:dyDescent="0.35">
      <c r="A163" t="s">
        <v>322</v>
      </c>
      <c r="B163" s="128">
        <v>45091</v>
      </c>
      <c r="C163">
        <v>27408.12</v>
      </c>
    </row>
    <row r="164" spans="1:3" x14ac:dyDescent="0.35">
      <c r="A164" t="s">
        <v>322</v>
      </c>
      <c r="B164" s="128">
        <v>45090</v>
      </c>
      <c r="C164">
        <v>27350.09</v>
      </c>
    </row>
    <row r="165" spans="1:3" x14ac:dyDescent="0.35">
      <c r="A165" t="s">
        <v>322</v>
      </c>
      <c r="B165" s="128">
        <v>45089</v>
      </c>
      <c r="C165">
        <v>27182.55</v>
      </c>
    </row>
    <row r="166" spans="1:3" x14ac:dyDescent="0.35">
      <c r="A166" t="s">
        <v>322</v>
      </c>
      <c r="B166" s="128">
        <v>45086</v>
      </c>
      <c r="C166">
        <v>27126.86</v>
      </c>
    </row>
    <row r="167" spans="1:3" x14ac:dyDescent="0.35">
      <c r="A167" t="s">
        <v>322</v>
      </c>
      <c r="B167" s="128">
        <v>45085</v>
      </c>
      <c r="C167">
        <v>27227.59</v>
      </c>
    </row>
    <row r="168" spans="1:3" x14ac:dyDescent="0.35">
      <c r="A168" t="s">
        <v>322</v>
      </c>
      <c r="B168" s="128">
        <v>45084</v>
      </c>
      <c r="C168">
        <v>27361.85</v>
      </c>
    </row>
    <row r="169" spans="1:3" x14ac:dyDescent="0.35">
      <c r="A169" t="s">
        <v>322</v>
      </c>
      <c r="B169" s="128">
        <v>45083</v>
      </c>
      <c r="C169">
        <v>27175.7</v>
      </c>
    </row>
    <row r="170" spans="1:3" x14ac:dyDescent="0.35">
      <c r="A170" t="s">
        <v>322</v>
      </c>
      <c r="B170" s="128">
        <v>45082</v>
      </c>
      <c r="C170">
        <v>27168.13</v>
      </c>
    </row>
    <row r="171" spans="1:3" x14ac:dyDescent="0.35">
      <c r="A171" t="s">
        <v>322</v>
      </c>
      <c r="B171" s="128">
        <v>45079</v>
      </c>
      <c r="C171">
        <v>27080.87</v>
      </c>
    </row>
    <row r="172" spans="1:3" x14ac:dyDescent="0.35">
      <c r="A172" t="s">
        <v>322</v>
      </c>
      <c r="B172" s="128">
        <v>45078</v>
      </c>
      <c r="C172">
        <v>26989.35</v>
      </c>
    </row>
    <row r="173" spans="1:3" x14ac:dyDescent="0.35">
      <c r="A173" t="s">
        <v>322</v>
      </c>
      <c r="B173" s="128">
        <v>45077</v>
      </c>
      <c r="C173">
        <v>27057.439999999999</v>
      </c>
    </row>
    <row r="174" spans="1:3" x14ac:dyDescent="0.35">
      <c r="A174" t="s">
        <v>322</v>
      </c>
      <c r="B174" s="128">
        <v>45076</v>
      </c>
      <c r="C174">
        <v>27188.18</v>
      </c>
    </row>
    <row r="175" spans="1:3" x14ac:dyDescent="0.35">
      <c r="A175" t="s">
        <v>322</v>
      </c>
      <c r="B175" s="128">
        <v>45075</v>
      </c>
      <c r="C175">
        <v>27136.82</v>
      </c>
    </row>
    <row r="176" spans="1:3" x14ac:dyDescent="0.35">
      <c r="A176" t="s">
        <v>322</v>
      </c>
      <c r="B176" s="128">
        <v>45072</v>
      </c>
      <c r="C176">
        <v>26991.87</v>
      </c>
    </row>
    <row r="177" spans="1:3" x14ac:dyDescent="0.35">
      <c r="A177" t="s">
        <v>322</v>
      </c>
      <c r="B177" s="128">
        <v>45071</v>
      </c>
      <c r="C177">
        <v>26731.86</v>
      </c>
    </row>
    <row r="178" spans="1:3" x14ac:dyDescent="0.35">
      <c r="A178" t="s">
        <v>322</v>
      </c>
      <c r="B178" s="128">
        <v>45070</v>
      </c>
      <c r="C178">
        <v>26679.72</v>
      </c>
    </row>
    <row r="179" spans="1:3" x14ac:dyDescent="0.35">
      <c r="A179" t="s">
        <v>322</v>
      </c>
      <c r="B179" s="128">
        <v>45069</v>
      </c>
      <c r="C179">
        <v>26771.1</v>
      </c>
    </row>
    <row r="180" spans="1:3" x14ac:dyDescent="0.35">
      <c r="A180" t="s">
        <v>322</v>
      </c>
      <c r="B180" s="128">
        <v>45068</v>
      </c>
      <c r="C180">
        <v>26722.03</v>
      </c>
    </row>
    <row r="181" spans="1:3" x14ac:dyDescent="0.35">
      <c r="A181" t="s">
        <v>322</v>
      </c>
      <c r="B181" s="128">
        <v>45065</v>
      </c>
      <c r="C181">
        <v>26560.1</v>
      </c>
    </row>
    <row r="182" spans="1:3" x14ac:dyDescent="0.35">
      <c r="A182" t="s">
        <v>322</v>
      </c>
      <c r="B182" s="128">
        <v>45064</v>
      </c>
      <c r="C182">
        <v>26451.26</v>
      </c>
    </row>
    <row r="183" spans="1:3" x14ac:dyDescent="0.35">
      <c r="A183" t="s">
        <v>322</v>
      </c>
      <c r="B183" s="128">
        <v>45063</v>
      </c>
      <c r="C183">
        <v>26526.82</v>
      </c>
    </row>
    <row r="184" spans="1:3" x14ac:dyDescent="0.35">
      <c r="A184" t="s">
        <v>322</v>
      </c>
      <c r="B184" s="128">
        <v>45062</v>
      </c>
      <c r="C184">
        <v>26679.67</v>
      </c>
    </row>
    <row r="185" spans="1:3" x14ac:dyDescent="0.35">
      <c r="A185" t="s">
        <v>322</v>
      </c>
      <c r="B185" s="128">
        <v>45061</v>
      </c>
      <c r="C185">
        <v>26789.02</v>
      </c>
    </row>
    <row r="186" spans="1:3" x14ac:dyDescent="0.35">
      <c r="A186" t="s">
        <v>322</v>
      </c>
      <c r="B186" s="128">
        <v>45058</v>
      </c>
      <c r="C186">
        <v>26666.67</v>
      </c>
    </row>
    <row r="187" spans="1:3" x14ac:dyDescent="0.35">
      <c r="A187" t="s">
        <v>322</v>
      </c>
      <c r="B187" s="128">
        <v>45057</v>
      </c>
      <c r="C187">
        <v>26640.77</v>
      </c>
    </row>
    <row r="188" spans="1:3" x14ac:dyDescent="0.35">
      <c r="A188" t="s">
        <v>322</v>
      </c>
      <c r="B188" s="128">
        <v>45056</v>
      </c>
      <c r="C188">
        <v>26667.11</v>
      </c>
    </row>
    <row r="189" spans="1:3" x14ac:dyDescent="0.35">
      <c r="A189" t="s">
        <v>322</v>
      </c>
      <c r="B189" s="128">
        <v>45055</v>
      </c>
      <c r="C189">
        <v>26595.52</v>
      </c>
    </row>
    <row r="190" spans="1:3" x14ac:dyDescent="0.35">
      <c r="A190" t="s">
        <v>322</v>
      </c>
      <c r="B190" s="128">
        <v>45054</v>
      </c>
      <c r="C190">
        <v>26593.29</v>
      </c>
    </row>
    <row r="191" spans="1:3" x14ac:dyDescent="0.35">
      <c r="A191" t="s">
        <v>322</v>
      </c>
      <c r="B191" s="128">
        <v>45051</v>
      </c>
      <c r="C191">
        <v>26308.78</v>
      </c>
    </row>
    <row r="192" spans="1:3" x14ac:dyDescent="0.35">
      <c r="A192" t="s">
        <v>322</v>
      </c>
      <c r="B192" s="128">
        <v>45050</v>
      </c>
      <c r="C192">
        <v>26580.77</v>
      </c>
    </row>
    <row r="193" spans="1:3" x14ac:dyDescent="0.35">
      <c r="A193" t="s">
        <v>322</v>
      </c>
      <c r="B193" s="128">
        <v>45049</v>
      </c>
      <c r="C193">
        <v>26339.14</v>
      </c>
    </row>
    <row r="194" spans="1:3" x14ac:dyDescent="0.35">
      <c r="A194" t="s">
        <v>322</v>
      </c>
      <c r="B194" s="128">
        <v>45048</v>
      </c>
      <c r="C194">
        <v>26423.3</v>
      </c>
    </row>
    <row r="195" spans="1:3" x14ac:dyDescent="0.35">
      <c r="A195" t="s">
        <v>322</v>
      </c>
      <c r="B195" s="128">
        <v>45044</v>
      </c>
      <c r="C195">
        <v>26302.92</v>
      </c>
    </row>
    <row r="196" spans="1:3" x14ac:dyDescent="0.35">
      <c r="A196" t="s">
        <v>322</v>
      </c>
      <c r="B196" s="128">
        <v>45043</v>
      </c>
      <c r="C196">
        <v>26078.38</v>
      </c>
    </row>
    <row r="197" spans="1:3" x14ac:dyDescent="0.35">
      <c r="A197" t="s">
        <v>322</v>
      </c>
      <c r="B197" s="128">
        <v>45042</v>
      </c>
      <c r="C197">
        <v>25930.7</v>
      </c>
    </row>
    <row r="198" spans="1:3" x14ac:dyDescent="0.35">
      <c r="A198" t="s">
        <v>322</v>
      </c>
      <c r="B198" s="128">
        <v>45041</v>
      </c>
      <c r="C198">
        <v>25866.09</v>
      </c>
    </row>
    <row r="199" spans="1:3" x14ac:dyDescent="0.35">
      <c r="A199" t="s">
        <v>322</v>
      </c>
      <c r="B199" s="128">
        <v>45040</v>
      </c>
      <c r="C199">
        <v>25828.46</v>
      </c>
    </row>
    <row r="200" spans="1:3" x14ac:dyDescent="0.35">
      <c r="A200" t="s">
        <v>322</v>
      </c>
      <c r="B200" s="128">
        <v>45037</v>
      </c>
      <c r="C200">
        <v>25654.78</v>
      </c>
    </row>
    <row r="201" spans="1:3" x14ac:dyDescent="0.35">
      <c r="A201" t="s">
        <v>322</v>
      </c>
      <c r="B201" s="128">
        <v>45036</v>
      </c>
      <c r="C201">
        <v>25654.16</v>
      </c>
    </row>
    <row r="202" spans="1:3" x14ac:dyDescent="0.35">
      <c r="A202" t="s">
        <v>322</v>
      </c>
      <c r="B202" s="128">
        <v>45035</v>
      </c>
      <c r="C202">
        <v>25645.82</v>
      </c>
    </row>
    <row r="203" spans="1:3" x14ac:dyDescent="0.35">
      <c r="A203" t="s">
        <v>322</v>
      </c>
      <c r="B203" s="128">
        <v>45034</v>
      </c>
      <c r="C203">
        <v>25706.09</v>
      </c>
    </row>
    <row r="204" spans="1:3" x14ac:dyDescent="0.35">
      <c r="A204" t="s">
        <v>322</v>
      </c>
      <c r="B204" s="128">
        <v>45033</v>
      </c>
      <c r="C204">
        <v>25774.07</v>
      </c>
    </row>
    <row r="205" spans="1:3" x14ac:dyDescent="0.35">
      <c r="A205" t="s">
        <v>322</v>
      </c>
      <c r="B205" s="128">
        <v>45029</v>
      </c>
      <c r="C205">
        <v>25950.39</v>
      </c>
    </row>
    <row r="206" spans="1:3" x14ac:dyDescent="0.35">
      <c r="A206" t="s">
        <v>322</v>
      </c>
      <c r="B206" s="128">
        <v>45028</v>
      </c>
      <c r="C206">
        <v>25924.89</v>
      </c>
    </row>
    <row r="207" spans="1:3" x14ac:dyDescent="0.35">
      <c r="A207" t="s">
        <v>322</v>
      </c>
      <c r="B207" s="128">
        <v>45027</v>
      </c>
      <c r="C207">
        <v>25793.77</v>
      </c>
    </row>
    <row r="208" spans="1:3" x14ac:dyDescent="0.35">
      <c r="A208" t="s">
        <v>322</v>
      </c>
      <c r="B208" s="128">
        <v>45026</v>
      </c>
      <c r="C208">
        <v>25650.73</v>
      </c>
    </row>
    <row r="209" spans="1:3" x14ac:dyDescent="0.35">
      <c r="A209" t="s">
        <v>322</v>
      </c>
      <c r="B209" s="128">
        <v>45022</v>
      </c>
      <c r="C209">
        <v>25614.55</v>
      </c>
    </row>
    <row r="210" spans="1:3" x14ac:dyDescent="0.35">
      <c r="A210" t="s">
        <v>322</v>
      </c>
      <c r="B210" s="128">
        <v>45021</v>
      </c>
      <c r="C210">
        <v>25553.279999999999</v>
      </c>
    </row>
    <row r="211" spans="1:3" x14ac:dyDescent="0.35">
      <c r="A211" t="s">
        <v>322</v>
      </c>
      <c r="B211" s="128">
        <v>45019</v>
      </c>
      <c r="C211">
        <v>25321.85</v>
      </c>
    </row>
    <row r="212" spans="1:3" x14ac:dyDescent="0.35">
      <c r="A212" t="s">
        <v>322</v>
      </c>
      <c r="B212" s="128">
        <v>45016</v>
      </c>
      <c r="C212">
        <v>25266.06</v>
      </c>
    </row>
    <row r="213" spans="1:3" x14ac:dyDescent="0.35">
      <c r="A213" t="s">
        <v>322</v>
      </c>
      <c r="B213" s="128">
        <v>45014</v>
      </c>
      <c r="C213">
        <v>24859.93</v>
      </c>
    </row>
    <row r="214" spans="1:3" x14ac:dyDescent="0.35">
      <c r="A214" t="s">
        <v>322</v>
      </c>
      <c r="B214" s="128">
        <v>45013</v>
      </c>
      <c r="C214">
        <v>24672.17</v>
      </c>
    </row>
    <row r="215" spans="1:3" x14ac:dyDescent="0.35">
      <c r="A215" t="s">
        <v>322</v>
      </c>
      <c r="B215" s="128">
        <v>45012</v>
      </c>
      <c r="C215">
        <v>24721.71</v>
      </c>
    </row>
    <row r="216" spans="1:3" x14ac:dyDescent="0.35">
      <c r="A216" t="s">
        <v>322</v>
      </c>
      <c r="B216" s="128">
        <v>45009</v>
      </c>
      <c r="C216">
        <v>24662.53</v>
      </c>
    </row>
    <row r="217" spans="1:3" x14ac:dyDescent="0.35">
      <c r="A217" t="s">
        <v>322</v>
      </c>
      <c r="B217" s="128">
        <v>45008</v>
      </c>
      <c r="C217">
        <v>24854.39</v>
      </c>
    </row>
    <row r="218" spans="1:3" x14ac:dyDescent="0.35">
      <c r="A218" t="s">
        <v>322</v>
      </c>
      <c r="B218" s="128">
        <v>45007</v>
      </c>
      <c r="C218">
        <v>24963.55</v>
      </c>
    </row>
    <row r="219" spans="1:3" x14ac:dyDescent="0.35">
      <c r="A219" t="s">
        <v>322</v>
      </c>
      <c r="B219" s="128">
        <v>45006</v>
      </c>
      <c r="C219">
        <v>24898.97</v>
      </c>
    </row>
    <row r="220" spans="1:3" x14ac:dyDescent="0.35">
      <c r="A220" t="s">
        <v>322</v>
      </c>
      <c r="B220" s="128">
        <v>45005</v>
      </c>
      <c r="C220">
        <v>24725.599999999999</v>
      </c>
    </row>
    <row r="221" spans="1:3" x14ac:dyDescent="0.35">
      <c r="A221" t="s">
        <v>322</v>
      </c>
      <c r="B221" s="128">
        <v>45002</v>
      </c>
      <c r="C221">
        <v>24888.1</v>
      </c>
    </row>
    <row r="222" spans="1:3" x14ac:dyDescent="0.35">
      <c r="A222" t="s">
        <v>322</v>
      </c>
      <c r="B222" s="128">
        <v>45001</v>
      </c>
      <c r="C222">
        <v>24721.52</v>
      </c>
    </row>
    <row r="223" spans="1:3" x14ac:dyDescent="0.35">
      <c r="A223" t="s">
        <v>322</v>
      </c>
      <c r="B223" s="128">
        <v>45000</v>
      </c>
      <c r="C223">
        <v>24701.599999999999</v>
      </c>
    </row>
    <row r="224" spans="1:3" x14ac:dyDescent="0.35">
      <c r="A224" t="s">
        <v>322</v>
      </c>
      <c r="B224" s="128">
        <v>44999</v>
      </c>
      <c r="C224">
        <v>24805.11</v>
      </c>
    </row>
    <row r="225" spans="1:3" x14ac:dyDescent="0.35">
      <c r="A225" t="s">
        <v>322</v>
      </c>
      <c r="B225" s="128">
        <v>44998</v>
      </c>
      <c r="C225">
        <v>24966.68</v>
      </c>
    </row>
    <row r="226" spans="1:3" x14ac:dyDescent="0.35">
      <c r="A226" t="s">
        <v>322</v>
      </c>
      <c r="B226" s="128">
        <v>44995</v>
      </c>
      <c r="C226">
        <v>25343.09</v>
      </c>
    </row>
    <row r="227" spans="1:3" x14ac:dyDescent="0.35">
      <c r="A227" t="s">
        <v>322</v>
      </c>
      <c r="B227" s="128">
        <v>44994</v>
      </c>
      <c r="C227">
        <v>25600.240000000002</v>
      </c>
    </row>
    <row r="228" spans="1:3" x14ac:dyDescent="0.35">
      <c r="A228" t="s">
        <v>322</v>
      </c>
      <c r="B228" s="128">
        <v>44993</v>
      </c>
      <c r="C228">
        <v>25840.12</v>
      </c>
    </row>
    <row r="229" spans="1:3" x14ac:dyDescent="0.35">
      <c r="A229" t="s">
        <v>322</v>
      </c>
      <c r="B229" s="128">
        <v>44991</v>
      </c>
      <c r="C229">
        <v>25777.599999999999</v>
      </c>
    </row>
    <row r="230" spans="1:3" x14ac:dyDescent="0.35">
      <c r="A230" t="s">
        <v>322</v>
      </c>
      <c r="B230" s="128">
        <v>44988</v>
      </c>
      <c r="C230">
        <v>25607.14</v>
      </c>
    </row>
    <row r="231" spans="1:3" x14ac:dyDescent="0.35">
      <c r="A231" t="s">
        <v>322</v>
      </c>
      <c r="B231" s="128">
        <v>44987</v>
      </c>
      <c r="C231">
        <v>25210.65</v>
      </c>
    </row>
    <row r="232" spans="1:3" x14ac:dyDescent="0.35">
      <c r="A232" t="s">
        <v>322</v>
      </c>
      <c r="B232" s="128">
        <v>44986</v>
      </c>
      <c r="C232">
        <v>25398.400000000001</v>
      </c>
    </row>
    <row r="233" spans="1:3" x14ac:dyDescent="0.35">
      <c r="A233" t="s">
        <v>322</v>
      </c>
      <c r="B233" s="128">
        <v>44985</v>
      </c>
      <c r="C233">
        <v>25184.47</v>
      </c>
    </row>
    <row r="234" spans="1:3" x14ac:dyDescent="0.35">
      <c r="A234" t="s">
        <v>322</v>
      </c>
      <c r="B234" s="128">
        <v>44984</v>
      </c>
      <c r="C234">
        <v>25313.7</v>
      </c>
    </row>
    <row r="235" spans="1:3" x14ac:dyDescent="0.35">
      <c r="A235" t="s">
        <v>322</v>
      </c>
      <c r="B235" s="128">
        <v>44981</v>
      </c>
      <c r="C235">
        <v>25420.07</v>
      </c>
    </row>
    <row r="236" spans="1:3" x14ac:dyDescent="0.35">
      <c r="A236" t="s">
        <v>322</v>
      </c>
      <c r="B236" s="128">
        <v>44980</v>
      </c>
      <c r="C236">
        <v>25485.97</v>
      </c>
    </row>
    <row r="237" spans="1:3" x14ac:dyDescent="0.35">
      <c r="A237" t="s">
        <v>322</v>
      </c>
      <c r="B237" s="128">
        <v>44979</v>
      </c>
      <c r="C237">
        <v>25548.67</v>
      </c>
    </row>
    <row r="238" spans="1:3" x14ac:dyDescent="0.35">
      <c r="A238" t="s">
        <v>322</v>
      </c>
      <c r="B238" s="128">
        <v>44978</v>
      </c>
      <c r="C238">
        <v>25945.08</v>
      </c>
    </row>
    <row r="239" spans="1:3" x14ac:dyDescent="0.35">
      <c r="A239" t="s">
        <v>322</v>
      </c>
      <c r="B239" s="128">
        <v>44977</v>
      </c>
      <c r="C239">
        <v>25971.19</v>
      </c>
    </row>
    <row r="240" spans="1:3" x14ac:dyDescent="0.35">
      <c r="A240" t="s">
        <v>322</v>
      </c>
      <c r="B240" s="128">
        <v>44974</v>
      </c>
      <c r="C240">
        <v>26116.12</v>
      </c>
    </row>
    <row r="241" spans="1:3" x14ac:dyDescent="0.35">
      <c r="A241" t="s">
        <v>322</v>
      </c>
      <c r="B241" s="128">
        <v>44973</v>
      </c>
      <c r="C241">
        <v>26249.52</v>
      </c>
    </row>
    <row r="242" spans="1:3" x14ac:dyDescent="0.35">
      <c r="A242" t="s">
        <v>322</v>
      </c>
      <c r="B242" s="128">
        <v>44972</v>
      </c>
      <c r="C242">
        <v>26220.43</v>
      </c>
    </row>
    <row r="243" spans="1:3" x14ac:dyDescent="0.35">
      <c r="A243" t="s">
        <v>322</v>
      </c>
      <c r="B243" s="128">
        <v>44971</v>
      </c>
      <c r="C243">
        <v>26077.93</v>
      </c>
    </row>
    <row r="244" spans="1:3" x14ac:dyDescent="0.35">
      <c r="A244" t="s">
        <v>322</v>
      </c>
      <c r="B244" s="128">
        <v>44970</v>
      </c>
      <c r="C244">
        <v>25846.7</v>
      </c>
    </row>
    <row r="245" spans="1:3" x14ac:dyDescent="0.35">
      <c r="A245" t="s">
        <v>322</v>
      </c>
      <c r="B245" s="128">
        <v>44967</v>
      </c>
      <c r="C245">
        <v>25971.23</v>
      </c>
    </row>
    <row r="246" spans="1:3" x14ac:dyDescent="0.35">
      <c r="A246" t="s">
        <v>322</v>
      </c>
      <c r="B246" s="128">
        <v>44966</v>
      </c>
      <c r="C246">
        <v>26024.94</v>
      </c>
    </row>
    <row r="247" spans="1:3" x14ac:dyDescent="0.35">
      <c r="A247" t="s">
        <v>322</v>
      </c>
      <c r="B247" s="128">
        <v>44965</v>
      </c>
      <c r="C247">
        <v>25993.34</v>
      </c>
    </row>
    <row r="248" spans="1:3" x14ac:dyDescent="0.35">
      <c r="A248" t="s">
        <v>322</v>
      </c>
      <c r="B248" s="128">
        <v>44964</v>
      </c>
      <c r="C248">
        <v>25772.19</v>
      </c>
    </row>
    <row r="249" spans="1:3" x14ac:dyDescent="0.35">
      <c r="A249" t="s">
        <v>322</v>
      </c>
      <c r="B249" s="128">
        <v>44963</v>
      </c>
      <c r="C249">
        <v>25834.87</v>
      </c>
    </row>
    <row r="250" spans="1:3" x14ac:dyDescent="0.35">
      <c r="A250" t="s">
        <v>322</v>
      </c>
      <c r="B250" s="128">
        <v>44960</v>
      </c>
      <c r="C250">
        <v>25965</v>
      </c>
    </row>
    <row r="251" spans="1:3" x14ac:dyDescent="0.35">
      <c r="A251" t="s">
        <v>322</v>
      </c>
      <c r="B251" s="128">
        <v>44959</v>
      </c>
      <c r="C251">
        <v>25610.65</v>
      </c>
    </row>
    <row r="252" spans="1:3" x14ac:dyDescent="0.35">
      <c r="A252" t="s">
        <v>322</v>
      </c>
      <c r="B252" s="128">
        <v>44958</v>
      </c>
      <c r="C252">
        <v>25619.24</v>
      </c>
    </row>
    <row r="253" spans="1:3" x14ac:dyDescent="0.35">
      <c r="A253" t="s">
        <v>322</v>
      </c>
      <c r="B253" s="128">
        <v>44957</v>
      </c>
      <c r="C253">
        <v>25685.94</v>
      </c>
    </row>
    <row r="254" spans="1:3" x14ac:dyDescent="0.35">
      <c r="A254" t="s">
        <v>322</v>
      </c>
      <c r="B254" s="128">
        <v>44956</v>
      </c>
      <c r="C254">
        <v>25666.69</v>
      </c>
    </row>
    <row r="255" spans="1:3" x14ac:dyDescent="0.35">
      <c r="A255" t="s">
        <v>322</v>
      </c>
      <c r="B255" s="128">
        <v>44953</v>
      </c>
      <c r="C255">
        <v>25601.88</v>
      </c>
    </row>
    <row r="256" spans="1:3" x14ac:dyDescent="0.35">
      <c r="A256" t="s">
        <v>322</v>
      </c>
      <c r="B256" s="128">
        <v>44951</v>
      </c>
      <c r="C256">
        <v>26020.13</v>
      </c>
    </row>
    <row r="257" spans="1:3" x14ac:dyDescent="0.35">
      <c r="A257" t="s">
        <v>322</v>
      </c>
      <c r="B257" s="128">
        <v>44950</v>
      </c>
      <c r="C257">
        <v>26349.279999999999</v>
      </c>
    </row>
    <row r="258" spans="1:3" x14ac:dyDescent="0.35">
      <c r="A258" t="s">
        <v>322</v>
      </c>
      <c r="B258" s="128">
        <v>44949</v>
      </c>
      <c r="C258">
        <v>26349.14</v>
      </c>
    </row>
    <row r="259" spans="1:3" x14ac:dyDescent="0.35">
      <c r="A259" t="s">
        <v>322</v>
      </c>
      <c r="B259" s="128">
        <v>44946</v>
      </c>
      <c r="C259">
        <v>26216.94</v>
      </c>
    </row>
    <row r="260" spans="1:3" x14ac:dyDescent="0.35">
      <c r="A260" t="s">
        <v>322</v>
      </c>
      <c r="B260" s="128">
        <v>44945</v>
      </c>
      <c r="C260">
        <v>26333.57</v>
      </c>
    </row>
    <row r="261" spans="1:3" x14ac:dyDescent="0.35">
      <c r="A261" t="s">
        <v>322</v>
      </c>
      <c r="B261" s="128">
        <v>44944</v>
      </c>
      <c r="C261">
        <v>26413.71</v>
      </c>
    </row>
    <row r="262" spans="1:3" x14ac:dyDescent="0.35">
      <c r="A262" t="s">
        <v>322</v>
      </c>
      <c r="B262" s="128">
        <v>44943</v>
      </c>
      <c r="C262">
        <v>26250.81</v>
      </c>
    </row>
    <row r="263" spans="1:3" x14ac:dyDescent="0.35">
      <c r="A263" t="s">
        <v>322</v>
      </c>
      <c r="B263" s="128">
        <v>44942</v>
      </c>
      <c r="C263">
        <v>26020.39</v>
      </c>
    </row>
    <row r="264" spans="1:3" x14ac:dyDescent="0.35">
      <c r="A264" t="s">
        <v>322</v>
      </c>
      <c r="B264" s="128">
        <v>44939</v>
      </c>
      <c r="C264">
        <v>26110.2</v>
      </c>
    </row>
    <row r="265" spans="1:3" x14ac:dyDescent="0.35">
      <c r="A265" t="s">
        <v>322</v>
      </c>
      <c r="B265" s="128">
        <v>44938</v>
      </c>
      <c r="C265">
        <v>25967.07</v>
      </c>
    </row>
    <row r="266" spans="1:3" x14ac:dyDescent="0.35">
      <c r="A266" t="s">
        <v>322</v>
      </c>
      <c r="B266" s="128">
        <v>44937</v>
      </c>
      <c r="C266">
        <v>26021.599999999999</v>
      </c>
    </row>
    <row r="267" spans="1:3" x14ac:dyDescent="0.35">
      <c r="A267" t="s">
        <v>322</v>
      </c>
      <c r="B267" s="128">
        <v>44936</v>
      </c>
      <c r="C267">
        <v>26048.47</v>
      </c>
    </row>
    <row r="268" spans="1:3" x14ac:dyDescent="0.35">
      <c r="A268" t="s">
        <v>322</v>
      </c>
      <c r="B268" s="128">
        <v>44935</v>
      </c>
      <c r="C268">
        <v>26320.41</v>
      </c>
    </row>
    <row r="269" spans="1:3" x14ac:dyDescent="0.35">
      <c r="A269" t="s">
        <v>322</v>
      </c>
      <c r="B269" s="128">
        <v>44932</v>
      </c>
      <c r="C269">
        <v>25968.95</v>
      </c>
    </row>
    <row r="270" spans="1:3" x14ac:dyDescent="0.35">
      <c r="A270" t="s">
        <v>322</v>
      </c>
      <c r="B270" s="128">
        <v>44931</v>
      </c>
      <c r="C270">
        <v>26161.85</v>
      </c>
    </row>
    <row r="271" spans="1:3" x14ac:dyDescent="0.35">
      <c r="A271" t="s">
        <v>322</v>
      </c>
      <c r="B271" s="128">
        <v>44930</v>
      </c>
      <c r="C271">
        <v>26235.73</v>
      </c>
    </row>
    <row r="272" spans="1:3" x14ac:dyDescent="0.35">
      <c r="A272" t="s">
        <v>322</v>
      </c>
      <c r="B272" s="128">
        <v>44929</v>
      </c>
      <c r="C272">
        <v>26511.45</v>
      </c>
    </row>
    <row r="273" spans="1:3" x14ac:dyDescent="0.35">
      <c r="A273" t="s">
        <v>322</v>
      </c>
      <c r="B273" s="128">
        <v>44928</v>
      </c>
      <c r="C273">
        <v>26460.41</v>
      </c>
    </row>
    <row r="274" spans="1:3" x14ac:dyDescent="0.35">
      <c r="A274" t="s">
        <v>322</v>
      </c>
      <c r="B274" s="128">
        <v>44925</v>
      </c>
      <c r="C274">
        <v>26326.37</v>
      </c>
    </row>
    <row r="275" spans="1:3" x14ac:dyDescent="0.35">
      <c r="A275" t="s">
        <v>322</v>
      </c>
      <c r="B275" s="128">
        <v>44924</v>
      </c>
      <c r="C275">
        <v>26451.02</v>
      </c>
    </row>
    <row r="276" spans="1:3" x14ac:dyDescent="0.35">
      <c r="A276" t="s">
        <v>322</v>
      </c>
      <c r="B276" s="128">
        <v>44923</v>
      </c>
      <c r="C276">
        <v>26351.4</v>
      </c>
    </row>
    <row r="277" spans="1:3" x14ac:dyDescent="0.35">
      <c r="A277" t="s">
        <v>322</v>
      </c>
      <c r="B277" s="128">
        <v>44922</v>
      </c>
      <c r="C277">
        <v>26365.65</v>
      </c>
    </row>
    <row r="278" spans="1:3" x14ac:dyDescent="0.35">
      <c r="A278" t="s">
        <v>322</v>
      </c>
      <c r="B278" s="128">
        <v>44921</v>
      </c>
      <c r="C278">
        <v>26194.52</v>
      </c>
    </row>
    <row r="279" spans="1:3" x14ac:dyDescent="0.35">
      <c r="A279" t="s">
        <v>322</v>
      </c>
      <c r="B279" s="128">
        <v>44918</v>
      </c>
      <c r="C279">
        <v>25892.35</v>
      </c>
    </row>
    <row r="280" spans="1:3" x14ac:dyDescent="0.35">
      <c r="A280" t="s">
        <v>322</v>
      </c>
      <c r="B280" s="128">
        <v>44917</v>
      </c>
      <c r="C280">
        <v>26358.44</v>
      </c>
    </row>
    <row r="281" spans="1:3" x14ac:dyDescent="0.35">
      <c r="A281" t="s">
        <v>322</v>
      </c>
      <c r="B281" s="128">
        <v>44916</v>
      </c>
      <c r="C281">
        <v>26462.77</v>
      </c>
    </row>
    <row r="282" spans="1:3" x14ac:dyDescent="0.35">
      <c r="A282" t="s">
        <v>322</v>
      </c>
      <c r="B282" s="128">
        <v>44915</v>
      </c>
      <c r="C282">
        <v>26733.51</v>
      </c>
    </row>
    <row r="283" spans="1:3" x14ac:dyDescent="0.35">
      <c r="A283" t="s">
        <v>322</v>
      </c>
      <c r="B283" s="128">
        <v>44914</v>
      </c>
      <c r="C283">
        <v>26784.68</v>
      </c>
    </row>
    <row r="284" spans="1:3" x14ac:dyDescent="0.35">
      <c r="A284" t="s">
        <v>322</v>
      </c>
      <c r="B284" s="128">
        <v>44911</v>
      </c>
      <c r="C284">
        <v>26564.46</v>
      </c>
    </row>
    <row r="285" spans="1:3" x14ac:dyDescent="0.35">
      <c r="A285" t="s">
        <v>322</v>
      </c>
      <c r="B285" s="128">
        <v>44910</v>
      </c>
      <c r="C285">
        <v>26776.560000000001</v>
      </c>
    </row>
    <row r="286" spans="1:3" x14ac:dyDescent="0.35">
      <c r="A286" t="s">
        <v>322</v>
      </c>
      <c r="B286" s="128">
        <v>44909</v>
      </c>
      <c r="C286">
        <v>27133.4</v>
      </c>
    </row>
    <row r="287" spans="1:3" x14ac:dyDescent="0.35">
      <c r="A287" t="s">
        <v>322</v>
      </c>
      <c r="B287" s="128">
        <v>44908</v>
      </c>
      <c r="C287">
        <v>27057.35</v>
      </c>
    </row>
    <row r="288" spans="1:3" x14ac:dyDescent="0.35">
      <c r="A288" t="s">
        <v>322</v>
      </c>
      <c r="B288" s="128">
        <v>44907</v>
      </c>
      <c r="C288">
        <v>26896.21</v>
      </c>
    </row>
    <row r="289" spans="1:3" x14ac:dyDescent="0.35">
      <c r="A289" t="s">
        <v>322</v>
      </c>
      <c r="B289" s="128">
        <v>44904</v>
      </c>
      <c r="C289">
        <v>26895.35</v>
      </c>
    </row>
    <row r="290" spans="1:3" x14ac:dyDescent="0.35">
      <c r="A290" t="s">
        <v>322</v>
      </c>
      <c r="B290" s="128">
        <v>44903</v>
      </c>
      <c r="C290">
        <v>27059.31</v>
      </c>
    </row>
    <row r="291" spans="1:3" x14ac:dyDescent="0.35">
      <c r="A291" t="s">
        <v>322</v>
      </c>
      <c r="B291" s="128">
        <v>44902</v>
      </c>
      <c r="C291">
        <v>26988.31</v>
      </c>
    </row>
    <row r="292" spans="1:3" x14ac:dyDescent="0.35">
      <c r="A292" t="s">
        <v>322</v>
      </c>
      <c r="B292" s="128">
        <v>44901</v>
      </c>
      <c r="C292">
        <v>27107.87</v>
      </c>
    </row>
    <row r="293" spans="1:3" x14ac:dyDescent="0.35">
      <c r="A293" t="s">
        <v>322</v>
      </c>
      <c r="B293" s="128">
        <v>44900</v>
      </c>
      <c r="C293">
        <v>27192.639999999999</v>
      </c>
    </row>
    <row r="294" spans="1:3" x14ac:dyDescent="0.35">
      <c r="A294" t="s">
        <v>322</v>
      </c>
      <c r="B294" s="128">
        <v>44897</v>
      </c>
      <c r="C294">
        <v>27185.439999999999</v>
      </c>
    </row>
    <row r="295" spans="1:3" x14ac:dyDescent="0.35">
      <c r="A295" t="s">
        <v>322</v>
      </c>
      <c r="B295" s="128">
        <v>44896</v>
      </c>
      <c r="C295">
        <v>27354.74</v>
      </c>
    </row>
    <row r="296" spans="1:3" x14ac:dyDescent="0.35">
      <c r="A296" t="s">
        <v>322</v>
      </c>
      <c r="B296" s="128">
        <v>44895</v>
      </c>
      <c r="C296">
        <v>27276.01</v>
      </c>
    </row>
    <row r="297" spans="1:3" x14ac:dyDescent="0.35">
      <c r="A297" t="s">
        <v>322</v>
      </c>
      <c r="B297" s="128">
        <v>44894</v>
      </c>
      <c r="C297">
        <v>27071.98</v>
      </c>
    </row>
    <row r="298" spans="1:3" x14ac:dyDescent="0.35">
      <c r="A298" t="s">
        <v>322</v>
      </c>
      <c r="B298" s="128">
        <v>44893</v>
      </c>
      <c r="C298">
        <v>26991.599999999999</v>
      </c>
    </row>
    <row r="299" spans="1:3" x14ac:dyDescent="0.35">
      <c r="A299" t="s">
        <v>322</v>
      </c>
      <c r="B299" s="128">
        <v>44890</v>
      </c>
      <c r="C299">
        <v>26918.89</v>
      </c>
    </row>
    <row r="300" spans="1:3" x14ac:dyDescent="0.35">
      <c r="A300" t="s">
        <v>322</v>
      </c>
      <c r="B300" s="128">
        <v>44889</v>
      </c>
      <c r="C300">
        <v>26877.24</v>
      </c>
    </row>
    <row r="301" spans="1:3" x14ac:dyDescent="0.35">
      <c r="A301" t="s">
        <v>322</v>
      </c>
      <c r="B301" s="128">
        <v>44888</v>
      </c>
      <c r="C301">
        <v>26561.89</v>
      </c>
    </row>
    <row r="302" spans="1:3" x14ac:dyDescent="0.35">
      <c r="A302" t="s">
        <v>322</v>
      </c>
      <c r="B302" s="128">
        <v>44887</v>
      </c>
      <c r="C302">
        <v>26528.400000000001</v>
      </c>
    </row>
    <row r="303" spans="1:3" x14ac:dyDescent="0.35">
      <c r="A303" t="s">
        <v>322</v>
      </c>
      <c r="B303" s="128">
        <v>44886</v>
      </c>
      <c r="C303">
        <v>26405.9</v>
      </c>
    </row>
    <row r="304" spans="1:3" x14ac:dyDescent="0.35">
      <c r="A304" t="s">
        <v>322</v>
      </c>
      <c r="B304" s="128">
        <v>44883</v>
      </c>
      <c r="C304">
        <v>26620.61</v>
      </c>
    </row>
    <row r="305" spans="1:3" x14ac:dyDescent="0.35">
      <c r="A305" t="s">
        <v>322</v>
      </c>
      <c r="B305" s="128">
        <v>44882</v>
      </c>
      <c r="C305">
        <v>26673.32</v>
      </c>
    </row>
    <row r="306" spans="1:3" x14ac:dyDescent="0.35">
      <c r="A306" t="s">
        <v>322</v>
      </c>
      <c r="B306" s="128">
        <v>44881</v>
      </c>
      <c r="C306">
        <v>26768.95</v>
      </c>
    </row>
    <row r="307" spans="1:3" x14ac:dyDescent="0.35">
      <c r="A307" t="s">
        <v>322</v>
      </c>
      <c r="B307" s="128">
        <v>44880</v>
      </c>
      <c r="C307">
        <v>26759.85</v>
      </c>
    </row>
    <row r="308" spans="1:3" x14ac:dyDescent="0.35">
      <c r="A308" t="s">
        <v>322</v>
      </c>
      <c r="B308" s="128">
        <v>44879</v>
      </c>
      <c r="C308">
        <v>26651.93</v>
      </c>
    </row>
    <row r="309" spans="1:3" x14ac:dyDescent="0.35">
      <c r="A309" t="s">
        <v>322</v>
      </c>
      <c r="B309" s="128">
        <v>44876</v>
      </c>
      <c r="C309">
        <v>26681.759999999998</v>
      </c>
    </row>
    <row r="310" spans="1:3" x14ac:dyDescent="0.35">
      <c r="A310" t="s">
        <v>322</v>
      </c>
      <c r="B310" s="128">
        <v>44875</v>
      </c>
      <c r="C310">
        <v>26214.31</v>
      </c>
    </row>
    <row r="311" spans="1:3" x14ac:dyDescent="0.35">
      <c r="A311" t="s">
        <v>322</v>
      </c>
      <c r="B311" s="128">
        <v>44874</v>
      </c>
      <c r="C311">
        <v>26401.58</v>
      </c>
    </row>
    <row r="312" spans="1:3" x14ac:dyDescent="0.35">
      <c r="A312" t="s">
        <v>322</v>
      </c>
      <c r="B312" s="128">
        <v>44872</v>
      </c>
      <c r="C312">
        <v>26464.44</v>
      </c>
    </row>
    <row r="313" spans="1:3" x14ac:dyDescent="0.35">
      <c r="A313" t="s">
        <v>322</v>
      </c>
      <c r="B313" s="128">
        <v>44869</v>
      </c>
      <c r="C313">
        <v>26339.9</v>
      </c>
    </row>
    <row r="314" spans="1:3" x14ac:dyDescent="0.35">
      <c r="A314" t="s">
        <v>322</v>
      </c>
      <c r="B314" s="128">
        <v>44868</v>
      </c>
      <c r="C314">
        <v>26246.23</v>
      </c>
    </row>
    <row r="315" spans="1:3" x14ac:dyDescent="0.35">
      <c r="A315" t="s">
        <v>322</v>
      </c>
      <c r="B315" s="128">
        <v>44867</v>
      </c>
      <c r="C315">
        <v>26290.01</v>
      </c>
    </row>
    <row r="316" spans="1:3" x14ac:dyDescent="0.35">
      <c r="A316" t="s">
        <v>322</v>
      </c>
      <c r="B316" s="128">
        <v>44866</v>
      </c>
      <c r="C316">
        <v>26380.97</v>
      </c>
    </row>
    <row r="317" spans="1:3" x14ac:dyDescent="0.35">
      <c r="A317" t="s">
        <v>322</v>
      </c>
      <c r="B317" s="128">
        <v>44865</v>
      </c>
      <c r="C317">
        <v>26182.36</v>
      </c>
    </row>
    <row r="318" spans="1:3" x14ac:dyDescent="0.35">
      <c r="A318" t="s">
        <v>322</v>
      </c>
      <c r="B318" s="128">
        <v>44862</v>
      </c>
      <c r="C318">
        <v>25852.720000000001</v>
      </c>
    </row>
    <row r="319" spans="1:3" x14ac:dyDescent="0.35">
      <c r="A319" t="s">
        <v>322</v>
      </c>
      <c r="B319" s="128">
        <v>44861</v>
      </c>
      <c r="C319">
        <v>25780.23</v>
      </c>
    </row>
    <row r="320" spans="1:3" x14ac:dyDescent="0.35">
      <c r="A320" t="s">
        <v>322</v>
      </c>
      <c r="B320" s="128">
        <v>44859</v>
      </c>
      <c r="C320">
        <v>25643.34</v>
      </c>
    </row>
    <row r="321" spans="1:3" x14ac:dyDescent="0.35">
      <c r="A321" t="s">
        <v>322</v>
      </c>
      <c r="B321" s="128">
        <v>44858</v>
      </c>
      <c r="C321">
        <v>25751.45</v>
      </c>
    </row>
    <row r="322" spans="1:3" x14ac:dyDescent="0.35">
      <c r="A322" t="s">
        <v>322</v>
      </c>
      <c r="B322" s="128">
        <v>44855</v>
      </c>
      <c r="C322">
        <v>25527.09</v>
      </c>
    </row>
    <row r="323" spans="1:3" x14ac:dyDescent="0.35">
      <c r="A323" t="s">
        <v>322</v>
      </c>
      <c r="B323" s="128">
        <v>44854</v>
      </c>
      <c r="C323">
        <v>25509.14</v>
      </c>
    </row>
    <row r="324" spans="1:3" x14ac:dyDescent="0.35">
      <c r="A324" t="s">
        <v>322</v>
      </c>
      <c r="B324" s="128">
        <v>44853</v>
      </c>
      <c r="C324">
        <v>25434.1</v>
      </c>
    </row>
    <row r="325" spans="1:3" x14ac:dyDescent="0.35">
      <c r="A325" t="s">
        <v>322</v>
      </c>
      <c r="B325" s="128">
        <v>44852</v>
      </c>
      <c r="C325">
        <v>25393.89</v>
      </c>
    </row>
    <row r="326" spans="1:3" x14ac:dyDescent="0.35">
      <c r="A326" t="s">
        <v>322</v>
      </c>
      <c r="B326" s="128">
        <v>44851</v>
      </c>
      <c r="C326">
        <v>25139.55</v>
      </c>
    </row>
    <row r="327" spans="1:3" x14ac:dyDescent="0.35">
      <c r="A327" t="s">
        <v>322</v>
      </c>
      <c r="B327" s="128">
        <v>44848</v>
      </c>
      <c r="C327">
        <v>24953.75</v>
      </c>
    </row>
    <row r="328" spans="1:3" x14ac:dyDescent="0.35">
      <c r="A328" t="s">
        <v>322</v>
      </c>
      <c r="B328" s="128">
        <v>44847</v>
      </c>
      <c r="C328">
        <v>24704.95</v>
      </c>
    </row>
    <row r="329" spans="1:3" x14ac:dyDescent="0.35">
      <c r="A329" t="s">
        <v>322</v>
      </c>
      <c r="B329" s="128">
        <v>44846</v>
      </c>
      <c r="C329">
        <v>24863.58</v>
      </c>
    </row>
    <row r="330" spans="1:3" x14ac:dyDescent="0.35">
      <c r="A330" t="s">
        <v>322</v>
      </c>
      <c r="B330" s="128">
        <v>44845</v>
      </c>
      <c r="C330">
        <v>24660.2</v>
      </c>
    </row>
    <row r="331" spans="1:3" x14ac:dyDescent="0.35">
      <c r="A331" t="s">
        <v>322</v>
      </c>
      <c r="B331" s="128">
        <v>44844</v>
      </c>
      <c r="C331">
        <v>25034.02</v>
      </c>
    </row>
    <row r="332" spans="1:3" x14ac:dyDescent="0.35">
      <c r="A332" t="s">
        <v>322</v>
      </c>
      <c r="B332" s="128">
        <v>44841</v>
      </c>
      <c r="C332">
        <v>25140.99</v>
      </c>
    </row>
    <row r="333" spans="1:3" x14ac:dyDescent="0.35">
      <c r="A333" t="s">
        <v>322</v>
      </c>
      <c r="B333" s="128">
        <v>44840</v>
      </c>
      <c r="C333">
        <v>25165.85</v>
      </c>
    </row>
    <row r="334" spans="1:3" x14ac:dyDescent="0.35">
      <c r="A334" t="s">
        <v>322</v>
      </c>
      <c r="B334" s="128">
        <v>44838</v>
      </c>
      <c r="C334">
        <v>25082.39</v>
      </c>
    </row>
    <row r="335" spans="1:3" x14ac:dyDescent="0.35">
      <c r="A335" t="s">
        <v>322</v>
      </c>
      <c r="B335" s="128">
        <v>44837</v>
      </c>
      <c r="C335">
        <v>24520.52</v>
      </c>
    </row>
    <row r="336" spans="1:3" x14ac:dyDescent="0.35">
      <c r="A336" t="s">
        <v>322</v>
      </c>
      <c r="B336" s="128">
        <v>44834</v>
      </c>
      <c r="C336">
        <v>24821.08</v>
      </c>
    </row>
    <row r="337" spans="1:3" x14ac:dyDescent="0.35">
      <c r="A337" t="s">
        <v>322</v>
      </c>
      <c r="B337" s="128">
        <v>44833</v>
      </c>
      <c r="C337">
        <v>24419.98</v>
      </c>
    </row>
    <row r="338" spans="1:3" x14ac:dyDescent="0.35">
      <c r="A338" t="s">
        <v>322</v>
      </c>
      <c r="B338" s="128">
        <v>44832</v>
      </c>
      <c r="C338">
        <v>24478.82</v>
      </c>
    </row>
    <row r="339" spans="1:3" x14ac:dyDescent="0.35">
      <c r="A339" t="s">
        <v>322</v>
      </c>
      <c r="B339" s="128">
        <v>44831</v>
      </c>
      <c r="C339">
        <v>24694.83</v>
      </c>
    </row>
    <row r="340" spans="1:3" x14ac:dyDescent="0.35">
      <c r="A340" t="s">
        <v>322</v>
      </c>
      <c r="B340" s="128">
        <v>44830</v>
      </c>
      <c r="C340">
        <v>24707.77</v>
      </c>
    </row>
    <row r="341" spans="1:3" x14ac:dyDescent="0.35">
      <c r="A341" t="s">
        <v>322</v>
      </c>
      <c r="B341" s="128">
        <v>44827</v>
      </c>
      <c r="C341">
        <v>25159.42</v>
      </c>
    </row>
    <row r="342" spans="1:3" x14ac:dyDescent="0.35">
      <c r="A342" t="s">
        <v>322</v>
      </c>
      <c r="B342" s="128">
        <v>44826</v>
      </c>
      <c r="C342">
        <v>25598.6</v>
      </c>
    </row>
    <row r="343" spans="1:3" x14ac:dyDescent="0.35">
      <c r="A343" t="s">
        <v>322</v>
      </c>
      <c r="B343" s="128">
        <v>44825</v>
      </c>
      <c r="C343">
        <v>25727.13</v>
      </c>
    </row>
    <row r="344" spans="1:3" x14ac:dyDescent="0.35">
      <c r="A344" t="s">
        <v>322</v>
      </c>
      <c r="B344" s="128">
        <v>44824</v>
      </c>
      <c r="C344">
        <v>25869.27</v>
      </c>
    </row>
    <row r="345" spans="1:3" x14ac:dyDescent="0.35">
      <c r="A345" t="s">
        <v>322</v>
      </c>
      <c r="B345" s="128">
        <v>44823</v>
      </c>
      <c r="C345">
        <v>25587.63</v>
      </c>
    </row>
    <row r="346" spans="1:3" x14ac:dyDescent="0.35">
      <c r="A346" t="s">
        <v>322</v>
      </c>
      <c r="B346" s="128">
        <v>44820</v>
      </c>
      <c r="C346">
        <v>25454.93</v>
      </c>
    </row>
    <row r="347" spans="1:3" x14ac:dyDescent="0.35">
      <c r="A347" t="s">
        <v>322</v>
      </c>
      <c r="B347" s="128">
        <v>44819</v>
      </c>
      <c r="C347">
        <v>25958.06</v>
      </c>
    </row>
    <row r="348" spans="1:3" x14ac:dyDescent="0.35">
      <c r="A348" t="s">
        <v>322</v>
      </c>
      <c r="B348" s="128">
        <v>44818</v>
      </c>
      <c r="C348">
        <v>26141.52</v>
      </c>
    </row>
    <row r="349" spans="1:3" x14ac:dyDescent="0.35">
      <c r="A349" t="s">
        <v>322</v>
      </c>
      <c r="B349" s="128">
        <v>44817</v>
      </c>
      <c r="C349">
        <v>26237.81</v>
      </c>
    </row>
    <row r="350" spans="1:3" x14ac:dyDescent="0.35">
      <c r="A350" t="s">
        <v>322</v>
      </c>
      <c r="B350" s="128">
        <v>44816</v>
      </c>
      <c r="C350">
        <v>26043.69</v>
      </c>
    </row>
    <row r="351" spans="1:3" x14ac:dyDescent="0.35">
      <c r="A351" t="s">
        <v>322</v>
      </c>
      <c r="B351" s="128">
        <v>44813</v>
      </c>
      <c r="C351">
        <v>25894.12</v>
      </c>
    </row>
    <row r="352" spans="1:3" x14ac:dyDescent="0.35">
      <c r="A352" t="s">
        <v>322</v>
      </c>
      <c r="B352" s="128">
        <v>44812</v>
      </c>
      <c r="C352">
        <v>25843.86</v>
      </c>
    </row>
    <row r="353" spans="1:3" x14ac:dyDescent="0.35">
      <c r="A353" t="s">
        <v>322</v>
      </c>
      <c r="B353" s="128">
        <v>44811</v>
      </c>
      <c r="C353">
        <v>25590.73</v>
      </c>
    </row>
    <row r="354" spans="1:3" x14ac:dyDescent="0.35">
      <c r="A354" t="s">
        <v>322</v>
      </c>
      <c r="B354" s="128">
        <v>44810</v>
      </c>
      <c r="C354">
        <v>25636.01</v>
      </c>
    </row>
    <row r="355" spans="1:3" x14ac:dyDescent="0.35">
      <c r="A355" t="s">
        <v>322</v>
      </c>
      <c r="B355" s="128">
        <v>44809</v>
      </c>
      <c r="C355">
        <v>25650.83</v>
      </c>
    </row>
    <row r="356" spans="1:3" x14ac:dyDescent="0.35">
      <c r="A356" t="s">
        <v>322</v>
      </c>
      <c r="B356" s="128">
        <v>44806</v>
      </c>
      <c r="C356">
        <v>25467.41</v>
      </c>
    </row>
    <row r="357" spans="1:3" x14ac:dyDescent="0.35">
      <c r="A357" t="s">
        <v>322</v>
      </c>
      <c r="B357" s="128">
        <v>44805</v>
      </c>
      <c r="C357">
        <v>25472.240000000002</v>
      </c>
    </row>
    <row r="358" spans="1:3" x14ac:dyDescent="0.35">
      <c r="A358" t="s">
        <v>322</v>
      </c>
      <c r="B358" s="128">
        <v>44803</v>
      </c>
      <c r="C358">
        <v>25786.59</v>
      </c>
    </row>
    <row r="359" spans="1:3" x14ac:dyDescent="0.35">
      <c r="A359" t="s">
        <v>322</v>
      </c>
      <c r="B359" s="128">
        <v>44802</v>
      </c>
      <c r="C359">
        <v>25138.400000000001</v>
      </c>
    </row>
    <row r="360" spans="1:3" x14ac:dyDescent="0.35">
      <c r="A360" t="s">
        <v>322</v>
      </c>
      <c r="B360" s="128">
        <v>44799</v>
      </c>
      <c r="C360">
        <v>25495.64</v>
      </c>
    </row>
    <row r="361" spans="1:3" x14ac:dyDescent="0.35">
      <c r="A361" t="s">
        <v>322</v>
      </c>
      <c r="B361" s="128">
        <v>44798</v>
      </c>
      <c r="C361">
        <v>25442.67</v>
      </c>
    </row>
    <row r="362" spans="1:3" x14ac:dyDescent="0.35">
      <c r="A362" t="s">
        <v>322</v>
      </c>
      <c r="B362" s="128">
        <v>44797</v>
      </c>
      <c r="C362">
        <v>25562.51</v>
      </c>
    </row>
    <row r="363" spans="1:3" x14ac:dyDescent="0.35">
      <c r="A363" t="s">
        <v>322</v>
      </c>
      <c r="B363" s="128">
        <v>44796</v>
      </c>
      <c r="C363">
        <v>25522.62</v>
      </c>
    </row>
    <row r="364" spans="1:3" x14ac:dyDescent="0.35">
      <c r="A364" t="s">
        <v>322</v>
      </c>
      <c r="B364" s="128">
        <v>44795</v>
      </c>
      <c r="C364">
        <v>25396.57</v>
      </c>
    </row>
    <row r="365" spans="1:3" x14ac:dyDescent="0.35">
      <c r="A365" t="s">
        <v>322</v>
      </c>
      <c r="B365" s="128">
        <v>44792</v>
      </c>
      <c r="C365">
        <v>25785.4</v>
      </c>
    </row>
    <row r="366" spans="1:3" x14ac:dyDescent="0.35">
      <c r="A366" t="s">
        <v>322</v>
      </c>
      <c r="B366" s="128">
        <v>44791</v>
      </c>
      <c r="C366">
        <v>26067.35</v>
      </c>
    </row>
    <row r="367" spans="1:3" x14ac:dyDescent="0.35">
      <c r="A367" t="s">
        <v>322</v>
      </c>
      <c r="B367" s="128">
        <v>44790</v>
      </c>
      <c r="C367">
        <v>26035.87</v>
      </c>
    </row>
    <row r="368" spans="1:3" x14ac:dyDescent="0.35">
      <c r="A368" t="s">
        <v>322</v>
      </c>
      <c r="B368" s="128">
        <v>44789</v>
      </c>
      <c r="C368">
        <v>25863.24</v>
      </c>
    </row>
    <row r="369" spans="1:3" x14ac:dyDescent="0.35">
      <c r="A369" t="s">
        <v>322</v>
      </c>
      <c r="B369" s="128">
        <v>44785</v>
      </c>
      <c r="C369">
        <v>25678.83</v>
      </c>
    </row>
    <row r="370" spans="1:3" x14ac:dyDescent="0.35">
      <c r="A370" t="s">
        <v>322</v>
      </c>
      <c r="B370" s="128">
        <v>44784</v>
      </c>
      <c r="C370">
        <v>25621.06</v>
      </c>
    </row>
    <row r="371" spans="1:3" x14ac:dyDescent="0.35">
      <c r="A371" t="s">
        <v>322</v>
      </c>
      <c r="B371" s="128">
        <v>44783</v>
      </c>
      <c r="C371">
        <v>25431.919999999998</v>
      </c>
    </row>
    <row r="372" spans="1:3" x14ac:dyDescent="0.35">
      <c r="A372" t="s">
        <v>322</v>
      </c>
      <c r="B372" s="128">
        <v>44781</v>
      </c>
      <c r="C372">
        <v>25413.25</v>
      </c>
    </row>
    <row r="373" spans="1:3" x14ac:dyDescent="0.35">
      <c r="A373" t="s">
        <v>322</v>
      </c>
      <c r="B373" s="128">
        <v>44778</v>
      </c>
      <c r="C373">
        <v>25215.93</v>
      </c>
    </row>
    <row r="374" spans="1:3" x14ac:dyDescent="0.35">
      <c r="A374" t="s">
        <v>322</v>
      </c>
      <c r="B374" s="128">
        <v>44777</v>
      </c>
      <c r="C374">
        <v>25193.41</v>
      </c>
    </row>
    <row r="375" spans="1:3" x14ac:dyDescent="0.35">
      <c r="A375" t="s">
        <v>322</v>
      </c>
      <c r="B375" s="128">
        <v>44776</v>
      </c>
      <c r="C375">
        <v>25202.38</v>
      </c>
    </row>
    <row r="376" spans="1:3" x14ac:dyDescent="0.35">
      <c r="A376" t="s">
        <v>322</v>
      </c>
      <c r="B376" s="128">
        <v>44775</v>
      </c>
      <c r="C376">
        <v>25137.82</v>
      </c>
    </row>
    <row r="377" spans="1:3" x14ac:dyDescent="0.35">
      <c r="A377" t="s">
        <v>322</v>
      </c>
      <c r="B377" s="128">
        <v>44774</v>
      </c>
      <c r="C377">
        <v>25128.57</v>
      </c>
    </row>
    <row r="378" spans="1:3" x14ac:dyDescent="0.35">
      <c r="A378" t="s">
        <v>322</v>
      </c>
      <c r="B378" s="128">
        <v>44771</v>
      </c>
      <c r="C378">
        <v>24862.7</v>
      </c>
    </row>
    <row r="379" spans="1:3" x14ac:dyDescent="0.35">
      <c r="A379" t="s">
        <v>322</v>
      </c>
      <c r="B379" s="128">
        <v>44770</v>
      </c>
      <c r="C379">
        <v>24531.38</v>
      </c>
    </row>
    <row r="380" spans="1:3" x14ac:dyDescent="0.35">
      <c r="A380" t="s">
        <v>322</v>
      </c>
      <c r="B380" s="128">
        <v>44769</v>
      </c>
      <c r="C380">
        <v>24114.41</v>
      </c>
    </row>
    <row r="381" spans="1:3" x14ac:dyDescent="0.35">
      <c r="A381" t="s">
        <v>322</v>
      </c>
      <c r="B381" s="128">
        <v>44768</v>
      </c>
      <c r="C381">
        <v>23882.26</v>
      </c>
    </row>
    <row r="382" spans="1:3" x14ac:dyDescent="0.35">
      <c r="A382" t="s">
        <v>322</v>
      </c>
      <c r="B382" s="128">
        <v>44767</v>
      </c>
      <c r="C382">
        <v>24095.46</v>
      </c>
    </row>
    <row r="383" spans="1:3" x14ac:dyDescent="0.35">
      <c r="A383" t="s">
        <v>322</v>
      </c>
      <c r="B383" s="128">
        <v>44764</v>
      </c>
      <c r="C383">
        <v>24223.56</v>
      </c>
    </row>
    <row r="384" spans="1:3" x14ac:dyDescent="0.35">
      <c r="A384" t="s">
        <v>322</v>
      </c>
      <c r="B384" s="128">
        <v>44763</v>
      </c>
      <c r="C384">
        <v>24058.17</v>
      </c>
    </row>
    <row r="385" spans="1:3" x14ac:dyDescent="0.35">
      <c r="A385" t="s">
        <v>322</v>
      </c>
      <c r="B385" s="128">
        <v>44762</v>
      </c>
      <c r="C385">
        <v>23920.880000000001</v>
      </c>
    </row>
    <row r="386" spans="1:3" x14ac:dyDescent="0.35">
      <c r="A386" t="s">
        <v>322</v>
      </c>
      <c r="B386" s="128">
        <v>44761</v>
      </c>
      <c r="C386">
        <v>23659.85</v>
      </c>
    </row>
    <row r="387" spans="1:3" x14ac:dyDescent="0.35">
      <c r="A387" t="s">
        <v>322</v>
      </c>
      <c r="B387" s="128">
        <v>44760</v>
      </c>
      <c r="C387">
        <v>23566.52</v>
      </c>
    </row>
    <row r="388" spans="1:3" x14ac:dyDescent="0.35">
      <c r="A388" t="s">
        <v>322</v>
      </c>
      <c r="B388" s="128">
        <v>44757</v>
      </c>
      <c r="C388">
        <v>23234.52</v>
      </c>
    </row>
    <row r="389" spans="1:3" x14ac:dyDescent="0.35">
      <c r="A389" t="s">
        <v>322</v>
      </c>
      <c r="B389" s="128">
        <v>44756</v>
      </c>
      <c r="C389">
        <v>23074.52</v>
      </c>
    </row>
    <row r="390" spans="1:3" x14ac:dyDescent="0.35">
      <c r="A390" t="s">
        <v>322</v>
      </c>
      <c r="B390" s="128">
        <v>44755</v>
      </c>
      <c r="C390">
        <v>23107.47</v>
      </c>
    </row>
    <row r="391" spans="1:3" x14ac:dyDescent="0.35">
      <c r="A391" t="s">
        <v>322</v>
      </c>
      <c r="B391" s="128">
        <v>44754</v>
      </c>
      <c r="C391">
        <v>23239.9</v>
      </c>
    </row>
    <row r="392" spans="1:3" x14ac:dyDescent="0.35">
      <c r="A392" t="s">
        <v>322</v>
      </c>
      <c r="B392" s="128">
        <v>44753</v>
      </c>
      <c r="C392">
        <v>23468.14</v>
      </c>
    </row>
    <row r="393" spans="1:3" x14ac:dyDescent="0.35">
      <c r="A393" t="s">
        <v>322</v>
      </c>
      <c r="B393" s="128">
        <v>44750</v>
      </c>
      <c r="C393">
        <v>23473.61</v>
      </c>
    </row>
    <row r="394" spans="1:3" x14ac:dyDescent="0.35">
      <c r="A394" t="s">
        <v>322</v>
      </c>
      <c r="B394" s="128">
        <v>44749</v>
      </c>
      <c r="C394">
        <v>23345.61</v>
      </c>
    </row>
    <row r="395" spans="1:3" x14ac:dyDescent="0.35">
      <c r="A395" t="s">
        <v>322</v>
      </c>
      <c r="B395" s="128">
        <v>44748</v>
      </c>
      <c r="C395">
        <v>23137.7</v>
      </c>
    </row>
    <row r="396" spans="1:3" x14ac:dyDescent="0.35">
      <c r="A396" t="s">
        <v>322</v>
      </c>
      <c r="B396" s="128">
        <v>44747</v>
      </c>
      <c r="C396">
        <v>22878.720000000001</v>
      </c>
    </row>
    <row r="397" spans="1:3" x14ac:dyDescent="0.35">
      <c r="A397" t="s">
        <v>322</v>
      </c>
      <c r="B397" s="128">
        <v>44746</v>
      </c>
      <c r="C397">
        <v>22914.2</v>
      </c>
    </row>
    <row r="398" spans="1:3" x14ac:dyDescent="0.35">
      <c r="A398" t="s">
        <v>322</v>
      </c>
      <c r="B398" s="128">
        <v>44743</v>
      </c>
      <c r="C398">
        <v>22788.18</v>
      </c>
    </row>
    <row r="399" spans="1:3" x14ac:dyDescent="0.35">
      <c r="A399" t="s">
        <v>322</v>
      </c>
      <c r="B399" s="128">
        <v>44742</v>
      </c>
      <c r="C399">
        <v>22828.93</v>
      </c>
    </row>
    <row r="400" spans="1:3" x14ac:dyDescent="0.35">
      <c r="A400" t="s">
        <v>322</v>
      </c>
      <c r="B400" s="128">
        <v>44741</v>
      </c>
      <c r="C400">
        <v>22848.35</v>
      </c>
    </row>
    <row r="401" spans="1:3" x14ac:dyDescent="0.35">
      <c r="A401" t="s">
        <v>322</v>
      </c>
      <c r="B401" s="128">
        <v>44740</v>
      </c>
      <c r="C401">
        <v>22922.240000000002</v>
      </c>
    </row>
    <row r="402" spans="1:3" x14ac:dyDescent="0.35">
      <c r="A402" t="s">
        <v>322</v>
      </c>
      <c r="B402" s="128">
        <v>44739</v>
      </c>
      <c r="C402">
        <v>22896.02</v>
      </c>
    </row>
    <row r="403" spans="1:3" x14ac:dyDescent="0.35">
      <c r="A403" t="s">
        <v>322</v>
      </c>
      <c r="B403" s="128">
        <v>44736</v>
      </c>
      <c r="C403">
        <v>22703.95</v>
      </c>
    </row>
    <row r="404" spans="1:3" x14ac:dyDescent="0.35">
      <c r="A404" t="s">
        <v>322</v>
      </c>
      <c r="B404" s="128">
        <v>44735</v>
      </c>
      <c r="C404">
        <v>22497.71</v>
      </c>
    </row>
    <row r="405" spans="1:3" x14ac:dyDescent="0.35">
      <c r="A405" t="s">
        <v>322</v>
      </c>
      <c r="B405" s="128">
        <v>44734</v>
      </c>
      <c r="C405">
        <v>22290.46</v>
      </c>
    </row>
    <row r="406" spans="1:3" x14ac:dyDescent="0.35">
      <c r="A406" t="s">
        <v>322</v>
      </c>
      <c r="B406" s="128">
        <v>44733</v>
      </c>
      <c r="C406">
        <v>22616.52</v>
      </c>
    </row>
    <row r="407" spans="1:3" x14ac:dyDescent="0.35">
      <c r="A407" t="s">
        <v>322</v>
      </c>
      <c r="B407" s="128">
        <v>44732</v>
      </c>
      <c r="C407">
        <v>22199.11</v>
      </c>
    </row>
    <row r="408" spans="1:3" x14ac:dyDescent="0.35">
      <c r="A408" t="s">
        <v>322</v>
      </c>
      <c r="B408" s="128">
        <v>44729</v>
      </c>
      <c r="C408">
        <v>22114.97</v>
      </c>
    </row>
    <row r="409" spans="1:3" x14ac:dyDescent="0.35">
      <c r="A409" t="s">
        <v>322</v>
      </c>
      <c r="B409" s="128">
        <v>44728</v>
      </c>
      <c r="C409">
        <v>22211.98</v>
      </c>
    </row>
    <row r="410" spans="1:3" x14ac:dyDescent="0.35">
      <c r="A410" t="s">
        <v>322</v>
      </c>
      <c r="B410" s="128">
        <v>44727</v>
      </c>
      <c r="C410">
        <v>22691.46</v>
      </c>
    </row>
    <row r="411" spans="1:3" x14ac:dyDescent="0.35">
      <c r="A411" t="s">
        <v>322</v>
      </c>
      <c r="B411" s="128">
        <v>44726</v>
      </c>
      <c r="C411">
        <v>22729.97</v>
      </c>
    </row>
    <row r="412" spans="1:3" x14ac:dyDescent="0.35">
      <c r="A412" t="s">
        <v>322</v>
      </c>
      <c r="B412" s="128">
        <v>44725</v>
      </c>
      <c r="C412">
        <v>22791.119999999999</v>
      </c>
    </row>
    <row r="413" spans="1:3" x14ac:dyDescent="0.35">
      <c r="A413" t="s">
        <v>322</v>
      </c>
      <c r="B413" s="128">
        <v>44722</v>
      </c>
      <c r="C413">
        <v>23408.59</v>
      </c>
    </row>
    <row r="414" spans="1:3" x14ac:dyDescent="0.35">
      <c r="A414" t="s">
        <v>322</v>
      </c>
      <c r="B414" s="128">
        <v>44721</v>
      </c>
      <c r="C414">
        <v>23807.84</v>
      </c>
    </row>
    <row r="415" spans="1:3" x14ac:dyDescent="0.35">
      <c r="A415" t="s">
        <v>322</v>
      </c>
      <c r="B415" s="128">
        <v>44720</v>
      </c>
      <c r="C415">
        <v>23628.32</v>
      </c>
    </row>
    <row r="416" spans="1:3" x14ac:dyDescent="0.35">
      <c r="A416" t="s">
        <v>322</v>
      </c>
      <c r="B416" s="128">
        <v>44719</v>
      </c>
      <c r="C416">
        <v>23715.1</v>
      </c>
    </row>
    <row r="417" spans="1:3" x14ac:dyDescent="0.35">
      <c r="A417" t="s">
        <v>322</v>
      </c>
      <c r="B417" s="128">
        <v>44718</v>
      </c>
      <c r="C417">
        <v>23936.44</v>
      </c>
    </row>
    <row r="418" spans="1:3" x14ac:dyDescent="0.35">
      <c r="A418" t="s">
        <v>322</v>
      </c>
      <c r="B418" s="128">
        <v>44715</v>
      </c>
      <c r="C418">
        <v>23957.71</v>
      </c>
    </row>
    <row r="419" spans="1:3" x14ac:dyDescent="0.35">
      <c r="A419" t="s">
        <v>322</v>
      </c>
      <c r="B419" s="128">
        <v>44714</v>
      </c>
      <c r="C419">
        <v>24020.89</v>
      </c>
    </row>
    <row r="420" spans="1:3" x14ac:dyDescent="0.35">
      <c r="A420" t="s">
        <v>322</v>
      </c>
      <c r="B420" s="128">
        <v>44713</v>
      </c>
      <c r="C420">
        <v>23868.85</v>
      </c>
    </row>
    <row r="421" spans="1:3" x14ac:dyDescent="0.35">
      <c r="A421" t="s">
        <v>322</v>
      </c>
      <c r="B421" s="128">
        <v>44712</v>
      </c>
      <c r="C421">
        <v>23958.1</v>
      </c>
    </row>
    <row r="422" spans="1:3" x14ac:dyDescent="0.35">
      <c r="A422" t="s">
        <v>322</v>
      </c>
      <c r="B422" s="128">
        <v>44711</v>
      </c>
      <c r="C422">
        <v>24031.25</v>
      </c>
    </row>
    <row r="423" spans="1:3" x14ac:dyDescent="0.35">
      <c r="A423" t="s">
        <v>322</v>
      </c>
      <c r="B423" s="128">
        <v>44708</v>
      </c>
      <c r="C423">
        <v>23585.61</v>
      </c>
    </row>
    <row r="424" spans="1:3" x14ac:dyDescent="0.35">
      <c r="A424" t="s">
        <v>322</v>
      </c>
      <c r="B424" s="128">
        <v>44707</v>
      </c>
      <c r="C424">
        <v>23322.66</v>
      </c>
    </row>
    <row r="425" spans="1:3" x14ac:dyDescent="0.35">
      <c r="A425" t="s">
        <v>322</v>
      </c>
      <c r="B425" s="128">
        <v>44706</v>
      </c>
      <c r="C425">
        <v>23096.63</v>
      </c>
    </row>
    <row r="426" spans="1:3" x14ac:dyDescent="0.35">
      <c r="A426" t="s">
        <v>322</v>
      </c>
      <c r="B426" s="128">
        <v>44705</v>
      </c>
      <c r="C426">
        <v>23223.25</v>
      </c>
    </row>
    <row r="427" spans="1:3" x14ac:dyDescent="0.35">
      <c r="A427" t="s">
        <v>322</v>
      </c>
      <c r="B427" s="128">
        <v>44704</v>
      </c>
      <c r="C427">
        <v>23352.22</v>
      </c>
    </row>
    <row r="428" spans="1:3" x14ac:dyDescent="0.35">
      <c r="A428" t="s">
        <v>322</v>
      </c>
      <c r="B428" s="128">
        <v>44701</v>
      </c>
      <c r="C428">
        <v>23426.36</v>
      </c>
    </row>
    <row r="429" spans="1:3" x14ac:dyDescent="0.35">
      <c r="A429" t="s">
        <v>322</v>
      </c>
      <c r="B429" s="128">
        <v>44700</v>
      </c>
      <c r="C429">
        <v>22768.49</v>
      </c>
    </row>
    <row r="430" spans="1:3" x14ac:dyDescent="0.35">
      <c r="A430" t="s">
        <v>322</v>
      </c>
      <c r="B430" s="128">
        <v>44699</v>
      </c>
      <c r="C430">
        <v>23389.07</v>
      </c>
    </row>
    <row r="431" spans="1:3" x14ac:dyDescent="0.35">
      <c r="A431" t="s">
        <v>322</v>
      </c>
      <c r="B431" s="128">
        <v>44698</v>
      </c>
      <c r="C431">
        <v>23416.46</v>
      </c>
    </row>
    <row r="432" spans="1:3" x14ac:dyDescent="0.35">
      <c r="A432" t="s">
        <v>322</v>
      </c>
      <c r="B432" s="128">
        <v>44697</v>
      </c>
      <c r="C432">
        <v>22815.88</v>
      </c>
    </row>
    <row r="433" spans="1:3" x14ac:dyDescent="0.35">
      <c r="A433" t="s">
        <v>322</v>
      </c>
      <c r="B433" s="128">
        <v>44694</v>
      </c>
      <c r="C433">
        <v>22729.279999999999</v>
      </c>
    </row>
    <row r="434" spans="1:3" x14ac:dyDescent="0.35">
      <c r="A434" t="s">
        <v>322</v>
      </c>
      <c r="B434" s="128">
        <v>44693</v>
      </c>
      <c r="C434">
        <v>22766.52</v>
      </c>
    </row>
    <row r="435" spans="1:3" x14ac:dyDescent="0.35">
      <c r="A435" t="s">
        <v>322</v>
      </c>
      <c r="B435" s="128">
        <v>44692</v>
      </c>
      <c r="C435">
        <v>23260.85</v>
      </c>
    </row>
    <row r="436" spans="1:3" x14ac:dyDescent="0.35">
      <c r="A436" t="s">
        <v>322</v>
      </c>
      <c r="B436" s="128">
        <v>44691</v>
      </c>
      <c r="C436">
        <v>23365.81</v>
      </c>
    </row>
    <row r="437" spans="1:3" x14ac:dyDescent="0.35">
      <c r="A437" t="s">
        <v>322</v>
      </c>
      <c r="B437" s="128">
        <v>44690</v>
      </c>
      <c r="C437">
        <v>23454.71</v>
      </c>
    </row>
    <row r="438" spans="1:3" x14ac:dyDescent="0.35">
      <c r="A438" t="s">
        <v>322</v>
      </c>
      <c r="B438" s="128">
        <v>44687</v>
      </c>
      <c r="C438">
        <v>23612.16</v>
      </c>
    </row>
    <row r="439" spans="1:3" x14ac:dyDescent="0.35">
      <c r="A439" t="s">
        <v>322</v>
      </c>
      <c r="B439" s="128">
        <v>44686</v>
      </c>
      <c r="C439">
        <v>24002.58</v>
      </c>
    </row>
    <row r="440" spans="1:3" x14ac:dyDescent="0.35">
      <c r="A440" t="s">
        <v>322</v>
      </c>
      <c r="B440" s="128">
        <v>44685</v>
      </c>
      <c r="C440">
        <v>23995.35</v>
      </c>
    </row>
    <row r="441" spans="1:3" x14ac:dyDescent="0.35">
      <c r="A441" t="s">
        <v>322</v>
      </c>
      <c r="B441" s="128">
        <v>44683</v>
      </c>
      <c r="C441">
        <v>24558.61</v>
      </c>
    </row>
    <row r="442" spans="1:3" x14ac:dyDescent="0.35">
      <c r="A442" t="s">
        <v>322</v>
      </c>
      <c r="B442" s="128">
        <v>44680</v>
      </c>
      <c r="C442">
        <v>24606.78</v>
      </c>
    </row>
    <row r="443" spans="1:3" x14ac:dyDescent="0.35">
      <c r="A443" t="s">
        <v>322</v>
      </c>
      <c r="B443" s="128">
        <v>44679</v>
      </c>
      <c r="C443">
        <v>24811.78</v>
      </c>
    </row>
    <row r="444" spans="1:3" x14ac:dyDescent="0.35">
      <c r="A444" t="s">
        <v>322</v>
      </c>
      <c r="B444" s="128">
        <v>44678</v>
      </c>
      <c r="C444">
        <v>24508.3</v>
      </c>
    </row>
    <row r="445" spans="1:3" x14ac:dyDescent="0.35">
      <c r="A445" t="s">
        <v>322</v>
      </c>
      <c r="B445" s="128">
        <v>44677</v>
      </c>
      <c r="C445">
        <v>24741.88</v>
      </c>
    </row>
    <row r="446" spans="1:3" x14ac:dyDescent="0.35">
      <c r="A446" t="s">
        <v>322</v>
      </c>
      <c r="B446" s="128">
        <v>44676</v>
      </c>
      <c r="C446">
        <v>24386.78</v>
      </c>
    </row>
    <row r="447" spans="1:3" x14ac:dyDescent="0.35">
      <c r="A447" t="s">
        <v>322</v>
      </c>
      <c r="B447" s="128">
        <v>44673</v>
      </c>
      <c r="C447">
        <v>24700.36</v>
      </c>
    </row>
    <row r="448" spans="1:3" x14ac:dyDescent="0.35">
      <c r="A448" t="s">
        <v>322</v>
      </c>
      <c r="B448" s="128">
        <v>44672</v>
      </c>
      <c r="C448">
        <v>25017.73</v>
      </c>
    </row>
    <row r="449" spans="1:3" x14ac:dyDescent="0.35">
      <c r="A449" t="s">
        <v>322</v>
      </c>
      <c r="B449" s="128">
        <v>44671</v>
      </c>
      <c r="C449">
        <v>24648.400000000001</v>
      </c>
    </row>
    <row r="450" spans="1:3" x14ac:dyDescent="0.35">
      <c r="A450" t="s">
        <v>322</v>
      </c>
      <c r="B450" s="128">
        <v>44670</v>
      </c>
      <c r="C450">
        <v>24392.54</v>
      </c>
    </row>
    <row r="451" spans="1:3" x14ac:dyDescent="0.35">
      <c r="A451" t="s">
        <v>322</v>
      </c>
      <c r="B451" s="128">
        <v>44669</v>
      </c>
      <c r="C451">
        <v>24701.75</v>
      </c>
    </row>
    <row r="452" spans="1:3" x14ac:dyDescent="0.35">
      <c r="A452" t="s">
        <v>322</v>
      </c>
      <c r="B452" s="128">
        <v>44664</v>
      </c>
      <c r="C452">
        <v>25136.13</v>
      </c>
    </row>
    <row r="453" spans="1:3" x14ac:dyDescent="0.35">
      <c r="A453" t="s">
        <v>322</v>
      </c>
      <c r="B453" s="128">
        <v>44663</v>
      </c>
      <c r="C453">
        <v>25214.76</v>
      </c>
    </row>
    <row r="454" spans="1:3" x14ac:dyDescent="0.35">
      <c r="A454" t="s">
        <v>322</v>
      </c>
      <c r="B454" s="128">
        <v>44662</v>
      </c>
      <c r="C454">
        <v>25422.81</v>
      </c>
    </row>
    <row r="455" spans="1:3" x14ac:dyDescent="0.35">
      <c r="A455" t="s">
        <v>322</v>
      </c>
      <c r="B455" s="128">
        <v>44659</v>
      </c>
      <c r="C455">
        <v>25580.15</v>
      </c>
    </row>
    <row r="456" spans="1:3" x14ac:dyDescent="0.35">
      <c r="A456" t="s">
        <v>322</v>
      </c>
      <c r="B456" s="128">
        <v>44658</v>
      </c>
      <c r="C456">
        <v>25371.88</v>
      </c>
    </row>
    <row r="457" spans="1:3" x14ac:dyDescent="0.35">
      <c r="A457" t="s">
        <v>322</v>
      </c>
      <c r="B457" s="128">
        <v>44657</v>
      </c>
      <c r="C457">
        <v>25613.71</v>
      </c>
    </row>
    <row r="458" spans="1:3" x14ac:dyDescent="0.35">
      <c r="A458" t="s">
        <v>322</v>
      </c>
      <c r="B458" s="128">
        <v>44656</v>
      </c>
      <c r="C458">
        <v>25829.11</v>
      </c>
    </row>
    <row r="459" spans="1:3" x14ac:dyDescent="0.35">
      <c r="A459" t="s">
        <v>322</v>
      </c>
      <c r="B459" s="128">
        <v>44655</v>
      </c>
      <c r="C459">
        <v>25964.720000000001</v>
      </c>
    </row>
    <row r="460" spans="1:3" x14ac:dyDescent="0.35">
      <c r="A460" t="s">
        <v>322</v>
      </c>
      <c r="B460" s="128">
        <v>44652</v>
      </c>
      <c r="C460">
        <v>25413.94</v>
      </c>
    </row>
    <row r="461" spans="1:3" x14ac:dyDescent="0.35">
      <c r="A461" t="s">
        <v>322</v>
      </c>
      <c r="B461" s="128">
        <v>44651</v>
      </c>
      <c r="C461">
        <v>25118.14</v>
      </c>
    </row>
    <row r="462" spans="1:3" x14ac:dyDescent="0.35">
      <c r="A462" t="s">
        <v>322</v>
      </c>
      <c r="B462" s="128">
        <v>44650</v>
      </c>
      <c r="C462">
        <v>25166.31</v>
      </c>
    </row>
    <row r="463" spans="1:3" x14ac:dyDescent="0.35">
      <c r="A463" t="s">
        <v>322</v>
      </c>
      <c r="B463" s="128">
        <v>44649</v>
      </c>
      <c r="C463">
        <v>24917.57</v>
      </c>
    </row>
    <row r="464" spans="1:3" x14ac:dyDescent="0.35">
      <c r="A464" t="s">
        <v>322</v>
      </c>
      <c r="B464" s="128">
        <v>44648</v>
      </c>
      <c r="C464">
        <v>24768.69</v>
      </c>
    </row>
    <row r="465" spans="1:3" x14ac:dyDescent="0.35">
      <c r="A465" t="s">
        <v>322</v>
      </c>
      <c r="B465" s="128">
        <v>44645</v>
      </c>
      <c r="C465">
        <v>24669.45</v>
      </c>
    </row>
    <row r="466" spans="1:3" x14ac:dyDescent="0.35">
      <c r="A466" t="s">
        <v>322</v>
      </c>
      <c r="B466" s="128">
        <v>44644</v>
      </c>
      <c r="C466">
        <v>24769.75</v>
      </c>
    </row>
    <row r="467" spans="1:3" x14ac:dyDescent="0.35">
      <c r="A467" t="s">
        <v>322</v>
      </c>
      <c r="B467" s="128">
        <v>44643</v>
      </c>
      <c r="C467">
        <v>24802.74</v>
      </c>
    </row>
    <row r="468" spans="1:3" x14ac:dyDescent="0.35">
      <c r="A468" t="s">
        <v>322</v>
      </c>
      <c r="B468" s="128">
        <v>44642</v>
      </c>
      <c r="C468">
        <v>24903.14</v>
      </c>
    </row>
    <row r="469" spans="1:3" x14ac:dyDescent="0.35">
      <c r="A469" t="s">
        <v>322</v>
      </c>
      <c r="B469" s="128">
        <v>44641</v>
      </c>
      <c r="C469">
        <v>24618.52</v>
      </c>
    </row>
    <row r="470" spans="1:3" x14ac:dyDescent="0.35">
      <c r="A470" t="s">
        <v>322</v>
      </c>
      <c r="B470" s="128">
        <v>44637</v>
      </c>
      <c r="C470">
        <v>24862.27</v>
      </c>
    </row>
    <row r="471" spans="1:3" x14ac:dyDescent="0.35">
      <c r="A471" t="s">
        <v>322</v>
      </c>
      <c r="B471" s="128">
        <v>44636</v>
      </c>
      <c r="C471">
        <v>24414</v>
      </c>
    </row>
    <row r="472" spans="1:3" x14ac:dyDescent="0.35">
      <c r="A472" t="s">
        <v>322</v>
      </c>
      <c r="B472" s="128">
        <v>44635</v>
      </c>
      <c r="C472">
        <v>23964.720000000001</v>
      </c>
    </row>
    <row r="473" spans="1:3" x14ac:dyDescent="0.35">
      <c r="A473" t="s">
        <v>322</v>
      </c>
      <c r="B473" s="128">
        <v>44634</v>
      </c>
      <c r="C473">
        <v>24264.29</v>
      </c>
    </row>
    <row r="474" spans="1:3" x14ac:dyDescent="0.35">
      <c r="A474" t="s">
        <v>322</v>
      </c>
      <c r="B474" s="128">
        <v>44631</v>
      </c>
      <c r="C474">
        <v>23917.96</v>
      </c>
    </row>
    <row r="475" spans="1:3" x14ac:dyDescent="0.35">
      <c r="A475" t="s">
        <v>322</v>
      </c>
      <c r="B475" s="128">
        <v>44630</v>
      </c>
      <c r="C475">
        <v>23866.77</v>
      </c>
    </row>
    <row r="476" spans="1:3" x14ac:dyDescent="0.35">
      <c r="A476" t="s">
        <v>322</v>
      </c>
      <c r="B476" s="128">
        <v>44629</v>
      </c>
      <c r="C476">
        <v>23507.87</v>
      </c>
    </row>
    <row r="477" spans="1:3" x14ac:dyDescent="0.35">
      <c r="A477" t="s">
        <v>322</v>
      </c>
      <c r="B477" s="128">
        <v>44628</v>
      </c>
      <c r="C477">
        <v>23030.560000000001</v>
      </c>
    </row>
    <row r="478" spans="1:3" x14ac:dyDescent="0.35">
      <c r="A478" t="s">
        <v>322</v>
      </c>
      <c r="B478" s="128">
        <v>44627</v>
      </c>
      <c r="C478">
        <v>22814.41</v>
      </c>
    </row>
    <row r="479" spans="1:3" x14ac:dyDescent="0.35">
      <c r="A479" t="s">
        <v>322</v>
      </c>
      <c r="B479" s="128">
        <v>44624</v>
      </c>
      <c r="C479">
        <v>23364.07</v>
      </c>
    </row>
    <row r="480" spans="1:3" x14ac:dyDescent="0.35">
      <c r="A480" t="s">
        <v>322</v>
      </c>
      <c r="B480" s="128">
        <v>44623</v>
      </c>
      <c r="C480">
        <v>23727.54</v>
      </c>
    </row>
    <row r="481" spans="1:3" x14ac:dyDescent="0.35">
      <c r="A481" t="s">
        <v>322</v>
      </c>
      <c r="B481" s="128">
        <v>44622</v>
      </c>
      <c r="C481">
        <v>23882.720000000001</v>
      </c>
    </row>
    <row r="482" spans="1:3" x14ac:dyDescent="0.35">
      <c r="A482" t="s">
        <v>322</v>
      </c>
      <c r="B482" s="128">
        <v>44620</v>
      </c>
      <c r="C482">
        <v>24153.01</v>
      </c>
    </row>
    <row r="483" spans="1:3" x14ac:dyDescent="0.35">
      <c r="A483" t="s">
        <v>322</v>
      </c>
      <c r="B483" s="128">
        <v>44617</v>
      </c>
      <c r="C483">
        <v>23958.1</v>
      </c>
    </row>
    <row r="484" spans="1:3" x14ac:dyDescent="0.35">
      <c r="A484" t="s">
        <v>322</v>
      </c>
      <c r="B484" s="128">
        <v>44616</v>
      </c>
      <c r="C484">
        <v>23367.85</v>
      </c>
    </row>
    <row r="485" spans="1:3" x14ac:dyDescent="0.35">
      <c r="A485" t="s">
        <v>322</v>
      </c>
      <c r="B485" s="128">
        <v>44615</v>
      </c>
      <c r="C485">
        <v>24540.41</v>
      </c>
    </row>
    <row r="486" spans="1:3" x14ac:dyDescent="0.35">
      <c r="A486" t="s">
        <v>322</v>
      </c>
      <c r="B486" s="128">
        <v>44614</v>
      </c>
      <c r="C486">
        <v>24582.05</v>
      </c>
    </row>
    <row r="487" spans="1:3" x14ac:dyDescent="0.35">
      <c r="A487" t="s">
        <v>322</v>
      </c>
      <c r="B487" s="128">
        <v>44613</v>
      </c>
      <c r="C487">
        <v>24746.59</v>
      </c>
    </row>
    <row r="488" spans="1:3" x14ac:dyDescent="0.35">
      <c r="A488" t="s">
        <v>322</v>
      </c>
      <c r="B488" s="128">
        <v>44610</v>
      </c>
      <c r="C488">
        <v>24838.68</v>
      </c>
    </row>
    <row r="489" spans="1:3" x14ac:dyDescent="0.35">
      <c r="A489" t="s">
        <v>322</v>
      </c>
      <c r="B489" s="128">
        <v>44609</v>
      </c>
      <c r="C489">
        <v>24879.32</v>
      </c>
    </row>
    <row r="490" spans="1:3" x14ac:dyDescent="0.35">
      <c r="A490" t="s">
        <v>322</v>
      </c>
      <c r="B490" s="128">
        <v>44608</v>
      </c>
      <c r="C490">
        <v>24904.67</v>
      </c>
    </row>
    <row r="491" spans="1:3" x14ac:dyDescent="0.35">
      <c r="A491" t="s">
        <v>322</v>
      </c>
      <c r="B491" s="128">
        <v>44607</v>
      </c>
      <c r="C491">
        <v>24941.93</v>
      </c>
    </row>
    <row r="492" spans="1:3" x14ac:dyDescent="0.35">
      <c r="A492" t="s">
        <v>322</v>
      </c>
      <c r="B492" s="128">
        <v>44606</v>
      </c>
      <c r="C492">
        <v>24209.38</v>
      </c>
    </row>
    <row r="493" spans="1:3" x14ac:dyDescent="0.35">
      <c r="A493" t="s">
        <v>322</v>
      </c>
      <c r="B493" s="128">
        <v>44603</v>
      </c>
      <c r="C493">
        <v>24958.45</v>
      </c>
    </row>
    <row r="494" spans="1:3" x14ac:dyDescent="0.35">
      <c r="A494" t="s">
        <v>322</v>
      </c>
      <c r="B494" s="128">
        <v>44602</v>
      </c>
      <c r="C494">
        <v>25290.42</v>
      </c>
    </row>
    <row r="495" spans="1:3" x14ac:dyDescent="0.35">
      <c r="A495" t="s">
        <v>322</v>
      </c>
      <c r="B495" s="128">
        <v>44601</v>
      </c>
      <c r="C495">
        <v>25084.6</v>
      </c>
    </row>
    <row r="496" spans="1:3" x14ac:dyDescent="0.35">
      <c r="A496" t="s">
        <v>322</v>
      </c>
      <c r="B496" s="128">
        <v>44600</v>
      </c>
      <c r="C496">
        <v>24795.759999999998</v>
      </c>
    </row>
    <row r="497" spans="1:3" x14ac:dyDescent="0.35">
      <c r="A497" t="s">
        <v>322</v>
      </c>
      <c r="B497" s="128">
        <v>44599</v>
      </c>
      <c r="C497">
        <v>24719.45</v>
      </c>
    </row>
    <row r="498" spans="1:3" x14ac:dyDescent="0.35">
      <c r="A498" t="s">
        <v>322</v>
      </c>
      <c r="B498" s="128">
        <v>44596</v>
      </c>
      <c r="C498">
        <v>25154.14</v>
      </c>
    </row>
    <row r="499" spans="1:3" x14ac:dyDescent="0.35">
      <c r="A499" t="s">
        <v>322</v>
      </c>
      <c r="B499" s="128">
        <v>44595</v>
      </c>
      <c r="C499">
        <v>25217.200000000001</v>
      </c>
    </row>
    <row r="500" spans="1:3" x14ac:dyDescent="0.35">
      <c r="A500" t="s">
        <v>322</v>
      </c>
      <c r="B500" s="128">
        <v>44594</v>
      </c>
      <c r="C500">
        <v>25526.55</v>
      </c>
    </row>
    <row r="501" spans="1:3" x14ac:dyDescent="0.35">
      <c r="A501" t="s">
        <v>322</v>
      </c>
      <c r="B501" s="128">
        <v>44593</v>
      </c>
      <c r="C501">
        <v>25234.89</v>
      </c>
    </row>
    <row r="502" spans="1:3" x14ac:dyDescent="0.35">
      <c r="A502" t="s">
        <v>322</v>
      </c>
      <c r="B502" s="128">
        <v>44592</v>
      </c>
      <c r="C502">
        <v>24894.62</v>
      </c>
    </row>
    <row r="503" spans="1:3" x14ac:dyDescent="0.35">
      <c r="A503" t="s">
        <v>322</v>
      </c>
      <c r="B503" s="128">
        <v>44589</v>
      </c>
      <c r="C503">
        <v>24553.040000000001</v>
      </c>
    </row>
    <row r="504" spans="1:3" x14ac:dyDescent="0.35">
      <c r="A504" t="s">
        <v>322</v>
      </c>
      <c r="B504" s="128">
        <v>44588</v>
      </c>
      <c r="C504">
        <v>24564.81</v>
      </c>
    </row>
    <row r="505" spans="1:3" x14ac:dyDescent="0.35">
      <c r="A505" t="s">
        <v>322</v>
      </c>
      <c r="B505" s="128">
        <v>44586</v>
      </c>
      <c r="C505">
        <v>24805.75</v>
      </c>
    </row>
    <row r="506" spans="1:3" x14ac:dyDescent="0.35">
      <c r="A506" t="s">
        <v>322</v>
      </c>
      <c r="B506" s="128">
        <v>44585</v>
      </c>
      <c r="C506">
        <v>24620.720000000001</v>
      </c>
    </row>
    <row r="507" spans="1:3" x14ac:dyDescent="0.35">
      <c r="A507" t="s">
        <v>322</v>
      </c>
      <c r="B507" s="128">
        <v>44582</v>
      </c>
      <c r="C507">
        <v>25292.720000000001</v>
      </c>
    </row>
    <row r="508" spans="1:3" x14ac:dyDescent="0.35">
      <c r="A508" t="s">
        <v>322</v>
      </c>
      <c r="B508" s="128">
        <v>44581</v>
      </c>
      <c r="C508">
        <v>25492.99</v>
      </c>
    </row>
    <row r="509" spans="1:3" x14ac:dyDescent="0.35">
      <c r="A509" t="s">
        <v>322</v>
      </c>
      <c r="B509" s="128">
        <v>44580</v>
      </c>
      <c r="C509">
        <v>25749.81</v>
      </c>
    </row>
    <row r="510" spans="1:3" x14ac:dyDescent="0.35">
      <c r="A510" t="s">
        <v>322</v>
      </c>
      <c r="B510" s="128">
        <v>44579</v>
      </c>
      <c r="C510">
        <v>25998.14</v>
      </c>
    </row>
    <row r="511" spans="1:3" x14ac:dyDescent="0.35">
      <c r="A511" t="s">
        <v>322</v>
      </c>
      <c r="B511" s="128">
        <v>44578</v>
      </c>
      <c r="C511">
        <v>26278.07</v>
      </c>
    </row>
    <row r="512" spans="1:3" x14ac:dyDescent="0.35">
      <c r="A512" t="s">
        <v>322</v>
      </c>
      <c r="B512" s="128">
        <v>44575</v>
      </c>
      <c r="C512">
        <v>26202.97</v>
      </c>
    </row>
    <row r="513" spans="1:3" x14ac:dyDescent="0.35">
      <c r="A513" t="s">
        <v>322</v>
      </c>
      <c r="B513" s="128">
        <v>44574</v>
      </c>
      <c r="C513">
        <v>26205.87</v>
      </c>
    </row>
    <row r="514" spans="1:3" x14ac:dyDescent="0.35">
      <c r="A514" t="s">
        <v>322</v>
      </c>
      <c r="B514" s="128">
        <v>44573</v>
      </c>
      <c r="C514">
        <v>26140.68</v>
      </c>
    </row>
    <row r="515" spans="1:3" x14ac:dyDescent="0.35">
      <c r="A515" t="s">
        <v>322</v>
      </c>
      <c r="B515" s="128">
        <v>44572</v>
      </c>
      <c r="C515">
        <v>25915.89</v>
      </c>
    </row>
    <row r="516" spans="1:3" x14ac:dyDescent="0.35">
      <c r="A516" t="s">
        <v>322</v>
      </c>
      <c r="B516" s="128">
        <v>44571</v>
      </c>
      <c r="C516">
        <v>25840.62</v>
      </c>
    </row>
    <row r="517" spans="1:3" x14ac:dyDescent="0.35">
      <c r="A517" t="s">
        <v>322</v>
      </c>
      <c r="B517" s="128">
        <v>44568</v>
      </c>
      <c r="C517">
        <v>25567.06</v>
      </c>
    </row>
    <row r="518" spans="1:3" x14ac:dyDescent="0.35">
      <c r="A518" t="s">
        <v>322</v>
      </c>
      <c r="B518" s="128">
        <v>44567</v>
      </c>
      <c r="C518">
        <v>25471.18</v>
      </c>
    </row>
    <row r="519" spans="1:3" x14ac:dyDescent="0.35">
      <c r="A519" t="s">
        <v>322</v>
      </c>
      <c r="B519" s="128">
        <v>44566</v>
      </c>
      <c r="C519">
        <v>25728.58</v>
      </c>
    </row>
    <row r="520" spans="1:3" x14ac:dyDescent="0.35">
      <c r="A520" t="s">
        <v>322</v>
      </c>
      <c r="B520" s="128">
        <v>44565</v>
      </c>
      <c r="C520">
        <v>25556.34</v>
      </c>
    </row>
    <row r="521" spans="1:3" x14ac:dyDescent="0.35">
      <c r="A521" t="s">
        <v>322</v>
      </c>
      <c r="B521" s="128">
        <v>44564</v>
      </c>
      <c r="C521">
        <v>25298.63</v>
      </c>
    </row>
    <row r="522" spans="1:3" x14ac:dyDescent="0.35">
      <c r="A522" t="s">
        <v>322</v>
      </c>
      <c r="B522" s="128">
        <v>44561</v>
      </c>
      <c r="C522">
        <v>24908.71</v>
      </c>
    </row>
    <row r="523" spans="1:3" x14ac:dyDescent="0.35">
      <c r="A523" t="s">
        <v>322</v>
      </c>
      <c r="B523" s="128">
        <v>44560</v>
      </c>
      <c r="C523">
        <v>24693.25</v>
      </c>
    </row>
    <row r="524" spans="1:3" x14ac:dyDescent="0.35">
      <c r="A524" t="s">
        <v>322</v>
      </c>
      <c r="B524" s="128">
        <v>44559</v>
      </c>
      <c r="C524">
        <v>24707.1</v>
      </c>
    </row>
    <row r="525" spans="1:3" x14ac:dyDescent="0.35">
      <c r="A525" t="s">
        <v>322</v>
      </c>
      <c r="B525" s="128">
        <v>44558</v>
      </c>
      <c r="C525">
        <v>24735.32</v>
      </c>
    </row>
    <row r="526" spans="1:3" x14ac:dyDescent="0.35">
      <c r="A526" t="s">
        <v>322</v>
      </c>
      <c r="B526" s="128">
        <v>44557</v>
      </c>
      <c r="C526">
        <v>24524.36</v>
      </c>
    </row>
    <row r="527" spans="1:3" x14ac:dyDescent="0.35">
      <c r="A527" t="s">
        <v>322</v>
      </c>
      <c r="B527" s="128">
        <v>44554</v>
      </c>
      <c r="C527">
        <v>24405.96</v>
      </c>
    </row>
    <row r="528" spans="1:3" x14ac:dyDescent="0.35">
      <c r="A528" t="s">
        <v>322</v>
      </c>
      <c r="B528" s="128">
        <v>44553</v>
      </c>
      <c r="C528">
        <v>24504.75</v>
      </c>
    </row>
    <row r="529" spans="1:3" x14ac:dyDescent="0.35">
      <c r="A529" t="s">
        <v>322</v>
      </c>
      <c r="B529" s="128">
        <v>44552</v>
      </c>
      <c r="C529">
        <v>24336.62</v>
      </c>
    </row>
    <row r="530" spans="1:3" x14ac:dyDescent="0.35">
      <c r="A530" t="s">
        <v>322</v>
      </c>
      <c r="B530" s="128">
        <v>44551</v>
      </c>
      <c r="C530">
        <v>24063.78</v>
      </c>
    </row>
    <row r="531" spans="1:3" x14ac:dyDescent="0.35">
      <c r="A531" t="s">
        <v>322</v>
      </c>
      <c r="B531" s="128">
        <v>44550</v>
      </c>
      <c r="C531">
        <v>23839.01</v>
      </c>
    </row>
    <row r="532" spans="1:3" x14ac:dyDescent="0.35">
      <c r="A532" t="s">
        <v>322</v>
      </c>
      <c r="B532" s="128">
        <v>44547</v>
      </c>
      <c r="C532">
        <v>24371.37</v>
      </c>
    </row>
    <row r="533" spans="1:3" x14ac:dyDescent="0.35">
      <c r="A533" t="s">
        <v>322</v>
      </c>
      <c r="B533" s="128">
        <v>44546</v>
      </c>
      <c r="C533">
        <v>24749.01</v>
      </c>
    </row>
    <row r="534" spans="1:3" x14ac:dyDescent="0.35">
      <c r="A534" t="s">
        <v>322</v>
      </c>
      <c r="B534" s="128">
        <v>44545</v>
      </c>
      <c r="C534">
        <v>24710.3</v>
      </c>
    </row>
    <row r="535" spans="1:3" x14ac:dyDescent="0.35">
      <c r="A535" t="s">
        <v>322</v>
      </c>
      <c r="B535" s="128">
        <v>44544</v>
      </c>
      <c r="C535">
        <v>24858.79</v>
      </c>
    </row>
    <row r="536" spans="1:3" x14ac:dyDescent="0.35">
      <c r="A536" t="s">
        <v>322</v>
      </c>
      <c r="B536" s="128">
        <v>44543</v>
      </c>
      <c r="C536">
        <v>24921.02</v>
      </c>
    </row>
    <row r="537" spans="1:3" x14ac:dyDescent="0.35">
      <c r="A537" t="s">
        <v>322</v>
      </c>
      <c r="B537" s="128">
        <v>44540</v>
      </c>
      <c r="C537">
        <v>25126.240000000002</v>
      </c>
    </row>
    <row r="538" spans="1:3" x14ac:dyDescent="0.35">
      <c r="A538" t="s">
        <v>322</v>
      </c>
      <c r="B538" s="128">
        <v>44539</v>
      </c>
      <c r="C538">
        <v>25134.23</v>
      </c>
    </row>
    <row r="539" spans="1:3" x14ac:dyDescent="0.35">
      <c r="A539" t="s">
        <v>322</v>
      </c>
      <c r="B539" s="128">
        <v>44538</v>
      </c>
      <c r="C539">
        <v>25066.62</v>
      </c>
    </row>
    <row r="540" spans="1:3" x14ac:dyDescent="0.35">
      <c r="A540" t="s">
        <v>322</v>
      </c>
      <c r="B540" s="128">
        <v>44537</v>
      </c>
      <c r="C540">
        <v>24646.18</v>
      </c>
    </row>
    <row r="541" spans="1:3" x14ac:dyDescent="0.35">
      <c r="A541" t="s">
        <v>322</v>
      </c>
      <c r="B541" s="128">
        <v>44536</v>
      </c>
      <c r="C541">
        <v>24266.71</v>
      </c>
    </row>
    <row r="542" spans="1:3" x14ac:dyDescent="0.35">
      <c r="A542" t="s">
        <v>322</v>
      </c>
      <c r="B542" s="128">
        <v>44533</v>
      </c>
      <c r="C542">
        <v>24674.83</v>
      </c>
    </row>
    <row r="543" spans="1:3" x14ac:dyDescent="0.35">
      <c r="A543" t="s">
        <v>322</v>
      </c>
      <c r="B543" s="128">
        <v>44532</v>
      </c>
      <c r="C543">
        <v>24968.91</v>
      </c>
    </row>
    <row r="544" spans="1:3" x14ac:dyDescent="0.35">
      <c r="A544" t="s">
        <v>322</v>
      </c>
      <c r="B544" s="128">
        <v>44531</v>
      </c>
      <c r="C544">
        <v>24632.06</v>
      </c>
    </row>
    <row r="545" spans="1:3" x14ac:dyDescent="0.35">
      <c r="A545" t="s">
        <v>322</v>
      </c>
      <c r="B545" s="128">
        <v>44530</v>
      </c>
      <c r="C545">
        <v>24368.53</v>
      </c>
    </row>
    <row r="546" spans="1:3" x14ac:dyDescent="0.35">
      <c r="A546" t="s">
        <v>322</v>
      </c>
      <c r="B546" s="128">
        <v>44529</v>
      </c>
      <c r="C546">
        <v>24469.99</v>
      </c>
    </row>
    <row r="547" spans="1:3" x14ac:dyDescent="0.35">
      <c r="A547" t="s">
        <v>322</v>
      </c>
      <c r="B547" s="128">
        <v>44526</v>
      </c>
      <c r="C547">
        <v>24430.53</v>
      </c>
    </row>
    <row r="548" spans="1:3" x14ac:dyDescent="0.35">
      <c r="A548" t="s">
        <v>322</v>
      </c>
      <c r="B548" s="128">
        <v>44525</v>
      </c>
      <c r="C548">
        <v>25162.07</v>
      </c>
    </row>
    <row r="549" spans="1:3" x14ac:dyDescent="0.35">
      <c r="A549" t="s">
        <v>322</v>
      </c>
      <c r="B549" s="128">
        <v>44524</v>
      </c>
      <c r="C549">
        <v>24988.18</v>
      </c>
    </row>
    <row r="550" spans="1:3" x14ac:dyDescent="0.35">
      <c r="A550" t="s">
        <v>322</v>
      </c>
      <c r="B550" s="128">
        <v>44523</v>
      </c>
      <c r="C550">
        <v>25114.82</v>
      </c>
    </row>
    <row r="551" spans="1:3" x14ac:dyDescent="0.35">
      <c r="A551" t="s">
        <v>322</v>
      </c>
      <c r="B551" s="128">
        <v>44522</v>
      </c>
      <c r="C551">
        <v>24990.27</v>
      </c>
    </row>
    <row r="552" spans="1:3" x14ac:dyDescent="0.35">
      <c r="A552" t="s">
        <v>322</v>
      </c>
      <c r="B552" s="128">
        <v>44518</v>
      </c>
      <c r="C552">
        <v>25483.23</v>
      </c>
    </row>
    <row r="553" spans="1:3" x14ac:dyDescent="0.35">
      <c r="A553" t="s">
        <v>322</v>
      </c>
      <c r="B553" s="128">
        <v>44517</v>
      </c>
      <c r="C553">
        <v>25675.200000000001</v>
      </c>
    </row>
    <row r="554" spans="1:3" x14ac:dyDescent="0.35">
      <c r="A554" t="s">
        <v>322</v>
      </c>
      <c r="B554" s="128">
        <v>44516</v>
      </c>
      <c r="C554">
        <v>25819.49</v>
      </c>
    </row>
    <row r="555" spans="1:3" x14ac:dyDescent="0.35">
      <c r="A555" t="s">
        <v>322</v>
      </c>
      <c r="B555" s="128">
        <v>44515</v>
      </c>
      <c r="C555">
        <v>25977.61</v>
      </c>
    </row>
    <row r="556" spans="1:3" x14ac:dyDescent="0.35">
      <c r="A556" t="s">
        <v>322</v>
      </c>
      <c r="B556" s="128">
        <v>44512</v>
      </c>
      <c r="C556">
        <v>25968.02</v>
      </c>
    </row>
    <row r="557" spans="1:3" x14ac:dyDescent="0.35">
      <c r="A557" t="s">
        <v>322</v>
      </c>
      <c r="B557" s="128">
        <v>44511</v>
      </c>
      <c r="C557">
        <v>25639.32</v>
      </c>
    </row>
    <row r="558" spans="1:3" x14ac:dyDescent="0.35">
      <c r="A558" t="s">
        <v>322</v>
      </c>
      <c r="B558" s="128">
        <v>44510</v>
      </c>
      <c r="C558">
        <v>25839.47</v>
      </c>
    </row>
    <row r="559" spans="1:3" x14ac:dyDescent="0.35">
      <c r="A559" t="s">
        <v>322</v>
      </c>
      <c r="B559" s="128">
        <v>44509</v>
      </c>
      <c r="C559">
        <v>25878.28</v>
      </c>
    </row>
    <row r="560" spans="1:3" x14ac:dyDescent="0.35">
      <c r="A560" t="s">
        <v>322</v>
      </c>
      <c r="B560" s="128">
        <v>44508</v>
      </c>
      <c r="C560">
        <v>25913.09</v>
      </c>
    </row>
    <row r="561" spans="1:3" x14ac:dyDescent="0.35">
      <c r="A561" t="s">
        <v>322</v>
      </c>
      <c r="B561" s="128">
        <v>44504</v>
      </c>
      <c r="C561">
        <v>25695.5</v>
      </c>
    </row>
    <row r="562" spans="1:3" x14ac:dyDescent="0.35">
      <c r="A562" t="s">
        <v>322</v>
      </c>
      <c r="B562" s="128">
        <v>44503</v>
      </c>
      <c r="C562">
        <v>25569.86</v>
      </c>
    </row>
    <row r="563" spans="1:3" x14ac:dyDescent="0.35">
      <c r="A563" t="s">
        <v>322</v>
      </c>
      <c r="B563" s="128">
        <v>44502</v>
      </c>
      <c r="C563">
        <v>25655.51</v>
      </c>
    </row>
    <row r="564" spans="1:3" x14ac:dyDescent="0.35">
      <c r="A564" t="s">
        <v>322</v>
      </c>
      <c r="B564" s="128">
        <v>44501</v>
      </c>
      <c r="C564">
        <v>25710.799999999999</v>
      </c>
    </row>
    <row r="565" spans="1:3" x14ac:dyDescent="0.35">
      <c r="A565" t="s">
        <v>322</v>
      </c>
      <c r="B565" s="128">
        <v>44498</v>
      </c>
      <c r="C565">
        <v>25340.83</v>
      </c>
    </row>
    <row r="566" spans="1:3" x14ac:dyDescent="0.35">
      <c r="A566" t="s">
        <v>322</v>
      </c>
      <c r="B566" s="128">
        <v>44497</v>
      </c>
      <c r="C566">
        <v>25606.99</v>
      </c>
    </row>
    <row r="567" spans="1:3" x14ac:dyDescent="0.35">
      <c r="A567" t="s">
        <v>322</v>
      </c>
      <c r="B567" s="128">
        <v>44496</v>
      </c>
      <c r="C567">
        <v>26113.62</v>
      </c>
    </row>
    <row r="568" spans="1:3" x14ac:dyDescent="0.35">
      <c r="A568" t="s">
        <v>322</v>
      </c>
      <c r="B568" s="128">
        <v>44495</v>
      </c>
      <c r="C568">
        <v>26196.05</v>
      </c>
    </row>
    <row r="569" spans="1:3" x14ac:dyDescent="0.35">
      <c r="A569" t="s">
        <v>322</v>
      </c>
      <c r="B569" s="128">
        <v>44494</v>
      </c>
      <c r="C569">
        <v>25967.040000000001</v>
      </c>
    </row>
    <row r="570" spans="1:3" x14ac:dyDescent="0.35">
      <c r="A570" t="s">
        <v>322</v>
      </c>
      <c r="B570" s="128">
        <v>44491</v>
      </c>
      <c r="C570">
        <v>25952.01</v>
      </c>
    </row>
    <row r="571" spans="1:3" x14ac:dyDescent="0.35">
      <c r="A571" t="s">
        <v>322</v>
      </c>
      <c r="B571" s="128">
        <v>44490</v>
      </c>
      <c r="C571">
        <v>26042.59</v>
      </c>
    </row>
    <row r="572" spans="1:3" x14ac:dyDescent="0.35">
      <c r="A572" t="s">
        <v>322</v>
      </c>
      <c r="B572" s="128">
        <v>44489</v>
      </c>
      <c r="C572">
        <v>26165.78</v>
      </c>
    </row>
    <row r="573" spans="1:3" x14ac:dyDescent="0.35">
      <c r="A573" t="s">
        <v>322</v>
      </c>
      <c r="B573" s="128">
        <v>44488</v>
      </c>
      <c r="C573">
        <v>26383.71</v>
      </c>
    </row>
    <row r="574" spans="1:3" x14ac:dyDescent="0.35">
      <c r="A574" t="s">
        <v>322</v>
      </c>
      <c r="B574" s="128">
        <v>44487</v>
      </c>
      <c r="C574">
        <v>26467.21</v>
      </c>
    </row>
    <row r="575" spans="1:3" x14ac:dyDescent="0.35">
      <c r="A575" t="s">
        <v>322</v>
      </c>
      <c r="B575" s="128">
        <v>44483</v>
      </c>
      <c r="C575">
        <v>26268.83</v>
      </c>
    </row>
    <row r="576" spans="1:3" x14ac:dyDescent="0.35">
      <c r="A576" t="s">
        <v>322</v>
      </c>
      <c r="B576" s="128">
        <v>44482</v>
      </c>
      <c r="C576">
        <v>26013.19</v>
      </c>
    </row>
    <row r="577" spans="1:3" x14ac:dyDescent="0.35">
      <c r="A577" t="s">
        <v>322</v>
      </c>
      <c r="B577" s="128">
        <v>44481</v>
      </c>
      <c r="C577">
        <v>25770.01</v>
      </c>
    </row>
    <row r="578" spans="1:3" x14ac:dyDescent="0.35">
      <c r="A578" t="s">
        <v>322</v>
      </c>
      <c r="B578" s="128">
        <v>44480</v>
      </c>
      <c r="C578">
        <v>25704.1</v>
      </c>
    </row>
    <row r="579" spans="1:3" x14ac:dyDescent="0.35">
      <c r="A579" t="s">
        <v>322</v>
      </c>
      <c r="B579" s="128">
        <v>44477</v>
      </c>
      <c r="C579">
        <v>25631.38</v>
      </c>
    </row>
    <row r="580" spans="1:3" x14ac:dyDescent="0.35">
      <c r="A580" t="s">
        <v>322</v>
      </c>
      <c r="B580" s="128">
        <v>44476</v>
      </c>
      <c r="C580">
        <v>25481.26</v>
      </c>
    </row>
    <row r="581" spans="1:3" x14ac:dyDescent="0.35">
      <c r="A581" t="s">
        <v>322</v>
      </c>
      <c r="B581" s="128">
        <v>44475</v>
      </c>
      <c r="C581">
        <v>25274.48</v>
      </c>
    </row>
    <row r="582" spans="1:3" x14ac:dyDescent="0.35">
      <c r="A582" t="s">
        <v>322</v>
      </c>
      <c r="B582" s="128">
        <v>44474</v>
      </c>
      <c r="C582">
        <v>25526.98</v>
      </c>
    </row>
    <row r="583" spans="1:3" x14ac:dyDescent="0.35">
      <c r="A583" t="s">
        <v>322</v>
      </c>
      <c r="B583" s="128">
        <v>44473</v>
      </c>
      <c r="C583">
        <v>25339.32</v>
      </c>
    </row>
    <row r="584" spans="1:3" x14ac:dyDescent="0.35">
      <c r="A584" t="s">
        <v>322</v>
      </c>
      <c r="B584" s="128">
        <v>44470</v>
      </c>
      <c r="C584">
        <v>25111.25</v>
      </c>
    </row>
    <row r="585" spans="1:3" x14ac:dyDescent="0.35">
      <c r="A585" t="s">
        <v>322</v>
      </c>
      <c r="B585" s="128">
        <v>44469</v>
      </c>
      <c r="C585">
        <v>25234.57</v>
      </c>
    </row>
    <row r="586" spans="1:3" x14ac:dyDescent="0.35">
      <c r="A586" t="s">
        <v>322</v>
      </c>
      <c r="B586" s="128">
        <v>44468</v>
      </c>
      <c r="C586">
        <v>25367.99</v>
      </c>
    </row>
    <row r="587" spans="1:3" x14ac:dyDescent="0.35">
      <c r="A587" t="s">
        <v>322</v>
      </c>
      <c r="B587" s="128">
        <v>44467</v>
      </c>
      <c r="C587">
        <v>25421.46</v>
      </c>
    </row>
    <row r="588" spans="1:3" x14ac:dyDescent="0.35">
      <c r="A588" t="s">
        <v>322</v>
      </c>
      <c r="B588" s="128">
        <v>44466</v>
      </c>
      <c r="C588">
        <v>25573.99</v>
      </c>
    </row>
    <row r="589" spans="1:3" x14ac:dyDescent="0.35">
      <c r="A589" t="s">
        <v>322</v>
      </c>
      <c r="B589" s="128">
        <v>44463</v>
      </c>
      <c r="C589">
        <v>25571.24</v>
      </c>
    </row>
    <row r="590" spans="1:3" x14ac:dyDescent="0.35">
      <c r="A590" t="s">
        <v>322</v>
      </c>
      <c r="B590" s="128">
        <v>44462</v>
      </c>
      <c r="C590">
        <v>25527.919999999998</v>
      </c>
    </row>
    <row r="591" spans="1:3" x14ac:dyDescent="0.35">
      <c r="A591" t="s">
        <v>322</v>
      </c>
      <c r="B591" s="128">
        <v>44461</v>
      </c>
      <c r="C591">
        <v>25132.15</v>
      </c>
    </row>
    <row r="592" spans="1:3" x14ac:dyDescent="0.35">
      <c r="A592" t="s">
        <v>322</v>
      </c>
      <c r="B592" s="128">
        <v>44460</v>
      </c>
      <c r="C592">
        <v>25154.16</v>
      </c>
    </row>
    <row r="593" spans="1:3" x14ac:dyDescent="0.35">
      <c r="A593" t="s">
        <v>322</v>
      </c>
      <c r="B593" s="128">
        <v>44459</v>
      </c>
      <c r="C593">
        <v>24917.72</v>
      </c>
    </row>
    <row r="594" spans="1:3" x14ac:dyDescent="0.35">
      <c r="A594" t="s">
        <v>322</v>
      </c>
      <c r="B594" s="128">
        <v>44456</v>
      </c>
      <c r="C594">
        <v>25187.34</v>
      </c>
    </row>
    <row r="595" spans="1:3" x14ac:dyDescent="0.35">
      <c r="A595" t="s">
        <v>322</v>
      </c>
      <c r="B595" s="128">
        <v>44455</v>
      </c>
      <c r="C595">
        <v>25250.87</v>
      </c>
    </row>
    <row r="596" spans="1:3" x14ac:dyDescent="0.35">
      <c r="A596" t="s">
        <v>322</v>
      </c>
      <c r="B596" s="128">
        <v>44454</v>
      </c>
      <c r="C596">
        <v>25093.22</v>
      </c>
    </row>
    <row r="597" spans="1:3" x14ac:dyDescent="0.35">
      <c r="A597" t="s">
        <v>322</v>
      </c>
      <c r="B597" s="128">
        <v>44453</v>
      </c>
      <c r="C597">
        <v>24893.51</v>
      </c>
    </row>
    <row r="598" spans="1:3" x14ac:dyDescent="0.35">
      <c r="A598" t="s">
        <v>322</v>
      </c>
      <c r="B598" s="128">
        <v>44452</v>
      </c>
      <c r="C598">
        <v>24858.12</v>
      </c>
    </row>
    <row r="599" spans="1:3" x14ac:dyDescent="0.35">
      <c r="A599" t="s">
        <v>322</v>
      </c>
      <c r="B599" s="128">
        <v>44448</v>
      </c>
      <c r="C599">
        <v>24878.09</v>
      </c>
    </row>
    <row r="600" spans="1:3" x14ac:dyDescent="0.35">
      <c r="A600" t="s">
        <v>322</v>
      </c>
      <c r="B600" s="128">
        <v>44447</v>
      </c>
      <c r="C600">
        <v>24855.5</v>
      </c>
    </row>
    <row r="601" spans="1:3" x14ac:dyDescent="0.35">
      <c r="A601" t="s">
        <v>322</v>
      </c>
      <c r="B601" s="128">
        <v>44446</v>
      </c>
      <c r="C601">
        <v>24857.27</v>
      </c>
    </row>
    <row r="602" spans="1:3" x14ac:dyDescent="0.35">
      <c r="A602" t="s">
        <v>322</v>
      </c>
      <c r="B602" s="128">
        <v>44445</v>
      </c>
      <c r="C602">
        <v>24879.79</v>
      </c>
    </row>
    <row r="603" spans="1:3" x14ac:dyDescent="0.35">
      <c r="A603" t="s">
        <v>322</v>
      </c>
      <c r="B603" s="128">
        <v>44442</v>
      </c>
      <c r="C603">
        <v>24802.17</v>
      </c>
    </row>
    <row r="604" spans="1:3" x14ac:dyDescent="0.35">
      <c r="A604" t="s">
        <v>322</v>
      </c>
      <c r="B604" s="128">
        <v>44441</v>
      </c>
      <c r="C604">
        <v>24674.11</v>
      </c>
    </row>
    <row r="605" spans="1:3" x14ac:dyDescent="0.35">
      <c r="A605" t="s">
        <v>322</v>
      </c>
      <c r="B605" s="128">
        <v>44440</v>
      </c>
      <c r="C605">
        <v>24445.62</v>
      </c>
    </row>
    <row r="606" spans="1:3" x14ac:dyDescent="0.35">
      <c r="A606" t="s">
        <v>322</v>
      </c>
      <c r="B606" s="128">
        <v>44439</v>
      </c>
      <c r="C606">
        <v>24525.71</v>
      </c>
    </row>
    <row r="607" spans="1:3" x14ac:dyDescent="0.35">
      <c r="A607" t="s">
        <v>322</v>
      </c>
      <c r="B607" s="128">
        <v>44438</v>
      </c>
      <c r="C607">
        <v>24237.8</v>
      </c>
    </row>
    <row r="608" spans="1:3" x14ac:dyDescent="0.35">
      <c r="A608" t="s">
        <v>322</v>
      </c>
      <c r="B608" s="128">
        <v>44435</v>
      </c>
      <c r="C608">
        <v>23914.48</v>
      </c>
    </row>
    <row r="609" spans="1:3" x14ac:dyDescent="0.35">
      <c r="A609" t="s">
        <v>322</v>
      </c>
      <c r="B609" s="128">
        <v>44434</v>
      </c>
      <c r="C609">
        <v>23816.68</v>
      </c>
    </row>
    <row r="610" spans="1:3" x14ac:dyDescent="0.35">
      <c r="A610" t="s">
        <v>322</v>
      </c>
      <c r="B610" s="128">
        <v>44433</v>
      </c>
      <c r="C610">
        <v>23813.43</v>
      </c>
    </row>
    <row r="611" spans="1:3" x14ac:dyDescent="0.35">
      <c r="A611" t="s">
        <v>322</v>
      </c>
      <c r="B611" s="128">
        <v>44432</v>
      </c>
      <c r="C611">
        <v>23799.1</v>
      </c>
    </row>
    <row r="612" spans="1:3" x14ac:dyDescent="0.35">
      <c r="A612" t="s">
        <v>322</v>
      </c>
      <c r="B612" s="128">
        <v>44431</v>
      </c>
      <c r="C612">
        <v>23615.61</v>
      </c>
    </row>
    <row r="613" spans="1:3" x14ac:dyDescent="0.35">
      <c r="A613" t="s">
        <v>322</v>
      </c>
      <c r="B613" s="128">
        <v>44428</v>
      </c>
      <c r="C613">
        <v>23549.09</v>
      </c>
    </row>
    <row r="614" spans="1:3" x14ac:dyDescent="0.35">
      <c r="A614" t="s">
        <v>322</v>
      </c>
      <c r="B614" s="128">
        <v>44426</v>
      </c>
      <c r="C614">
        <v>23718.57</v>
      </c>
    </row>
    <row r="615" spans="1:3" x14ac:dyDescent="0.35">
      <c r="A615" t="s">
        <v>322</v>
      </c>
      <c r="B615" s="128">
        <v>44425</v>
      </c>
      <c r="C615">
        <v>23784.05</v>
      </c>
    </row>
    <row r="616" spans="1:3" x14ac:dyDescent="0.35">
      <c r="A616" t="s">
        <v>322</v>
      </c>
      <c r="B616" s="128">
        <v>44424</v>
      </c>
      <c r="C616">
        <v>23708.38</v>
      </c>
    </row>
    <row r="617" spans="1:3" x14ac:dyDescent="0.35">
      <c r="A617" t="s">
        <v>322</v>
      </c>
      <c r="B617" s="128">
        <v>44421</v>
      </c>
      <c r="C617">
        <v>23659.78</v>
      </c>
    </row>
    <row r="618" spans="1:3" x14ac:dyDescent="0.35">
      <c r="A618" t="s">
        <v>322</v>
      </c>
      <c r="B618" s="128">
        <v>44420</v>
      </c>
      <c r="C618">
        <v>23424.04</v>
      </c>
    </row>
    <row r="619" spans="1:3" x14ac:dyDescent="0.35">
      <c r="A619" t="s">
        <v>322</v>
      </c>
      <c r="B619" s="128">
        <v>44419</v>
      </c>
      <c r="C619">
        <v>23303.89</v>
      </c>
    </row>
    <row r="620" spans="1:3" x14ac:dyDescent="0.35">
      <c r="A620" t="s">
        <v>322</v>
      </c>
      <c r="B620" s="128">
        <v>44418</v>
      </c>
      <c r="C620">
        <v>23300.36</v>
      </c>
    </row>
    <row r="621" spans="1:3" x14ac:dyDescent="0.35">
      <c r="A621" t="s">
        <v>322</v>
      </c>
      <c r="B621" s="128">
        <v>44417</v>
      </c>
      <c r="C621">
        <v>23269.119999999999</v>
      </c>
    </row>
    <row r="622" spans="1:3" x14ac:dyDescent="0.35">
      <c r="A622" t="s">
        <v>322</v>
      </c>
      <c r="B622" s="128">
        <v>44414</v>
      </c>
      <c r="C622">
        <v>23238.83</v>
      </c>
    </row>
    <row r="623" spans="1:3" x14ac:dyDescent="0.35">
      <c r="A623" t="s">
        <v>322</v>
      </c>
      <c r="B623" s="128">
        <v>44413</v>
      </c>
      <c r="C623">
        <v>23319.53</v>
      </c>
    </row>
    <row r="624" spans="1:3" x14ac:dyDescent="0.35">
      <c r="A624" t="s">
        <v>322</v>
      </c>
      <c r="B624" s="128">
        <v>44412</v>
      </c>
      <c r="C624">
        <v>23265.07</v>
      </c>
    </row>
    <row r="625" spans="1:3" x14ac:dyDescent="0.35">
      <c r="A625" t="s">
        <v>322</v>
      </c>
      <c r="B625" s="128">
        <v>44411</v>
      </c>
      <c r="C625">
        <v>23081.86</v>
      </c>
    </row>
    <row r="626" spans="1:3" x14ac:dyDescent="0.35">
      <c r="A626" t="s">
        <v>322</v>
      </c>
      <c r="B626" s="128">
        <v>44410</v>
      </c>
      <c r="C626">
        <v>22730.42</v>
      </c>
    </row>
    <row r="627" spans="1:3" x14ac:dyDescent="0.35">
      <c r="A627" t="s">
        <v>322</v>
      </c>
      <c r="B627" s="128">
        <v>44407</v>
      </c>
      <c r="C627">
        <v>22554.26</v>
      </c>
    </row>
    <row r="628" spans="1:3" x14ac:dyDescent="0.35">
      <c r="A628" t="s">
        <v>322</v>
      </c>
      <c r="B628" s="128">
        <v>44406</v>
      </c>
      <c r="C628">
        <v>22576.34</v>
      </c>
    </row>
    <row r="629" spans="1:3" x14ac:dyDescent="0.35">
      <c r="A629" t="s">
        <v>322</v>
      </c>
      <c r="B629" s="128">
        <v>44405</v>
      </c>
      <c r="C629">
        <v>22472.95</v>
      </c>
    </row>
    <row r="630" spans="1:3" x14ac:dyDescent="0.35">
      <c r="A630" t="s">
        <v>322</v>
      </c>
      <c r="B630" s="128">
        <v>44404</v>
      </c>
      <c r="C630">
        <v>22518.799999999999</v>
      </c>
    </row>
    <row r="631" spans="1:3" x14ac:dyDescent="0.35">
      <c r="A631" t="s">
        <v>322</v>
      </c>
      <c r="B631" s="128">
        <v>44403</v>
      </c>
      <c r="C631">
        <v>22628.19</v>
      </c>
    </row>
    <row r="632" spans="1:3" x14ac:dyDescent="0.35">
      <c r="A632" t="s">
        <v>322</v>
      </c>
      <c r="B632" s="128">
        <v>44400</v>
      </c>
      <c r="C632">
        <v>22673.35</v>
      </c>
    </row>
    <row r="633" spans="1:3" x14ac:dyDescent="0.35">
      <c r="A633" t="s">
        <v>322</v>
      </c>
      <c r="B633" s="128">
        <v>44399</v>
      </c>
      <c r="C633">
        <v>22621.45</v>
      </c>
    </row>
    <row r="634" spans="1:3" x14ac:dyDescent="0.35">
      <c r="A634" t="s">
        <v>322</v>
      </c>
      <c r="B634" s="128">
        <v>44397</v>
      </c>
      <c r="C634">
        <v>22344.81</v>
      </c>
    </row>
    <row r="635" spans="1:3" x14ac:dyDescent="0.35">
      <c r="A635" t="s">
        <v>322</v>
      </c>
      <c r="B635" s="128">
        <v>44396</v>
      </c>
      <c r="C635">
        <v>22516.71</v>
      </c>
    </row>
    <row r="636" spans="1:3" x14ac:dyDescent="0.35">
      <c r="A636" t="s">
        <v>322</v>
      </c>
      <c r="B636" s="128">
        <v>44393</v>
      </c>
      <c r="C636">
        <v>22761.200000000001</v>
      </c>
    </row>
    <row r="637" spans="1:3" x14ac:dyDescent="0.35">
      <c r="A637" t="s">
        <v>322</v>
      </c>
      <c r="B637" s="128">
        <v>44392</v>
      </c>
      <c r="C637">
        <v>22762.34</v>
      </c>
    </row>
    <row r="638" spans="1:3" x14ac:dyDescent="0.35">
      <c r="A638" t="s">
        <v>322</v>
      </c>
      <c r="B638" s="128">
        <v>44391</v>
      </c>
      <c r="C638">
        <v>22656.78</v>
      </c>
    </row>
    <row r="639" spans="1:3" x14ac:dyDescent="0.35">
      <c r="A639" t="s">
        <v>322</v>
      </c>
      <c r="B639" s="128">
        <v>44390</v>
      </c>
      <c r="C639">
        <v>22595.49</v>
      </c>
    </row>
    <row r="640" spans="1:3" x14ac:dyDescent="0.35">
      <c r="A640" t="s">
        <v>322</v>
      </c>
      <c r="B640" s="128">
        <v>44389</v>
      </c>
      <c r="C640">
        <v>22424.39</v>
      </c>
    </row>
    <row r="641" spans="1:3" x14ac:dyDescent="0.35">
      <c r="A641" t="s">
        <v>322</v>
      </c>
      <c r="B641" s="128">
        <v>44386</v>
      </c>
      <c r="C641">
        <v>22420.36</v>
      </c>
    </row>
    <row r="642" spans="1:3" x14ac:dyDescent="0.35">
      <c r="A642" t="s">
        <v>322</v>
      </c>
      <c r="B642" s="128">
        <v>44385</v>
      </c>
      <c r="C642">
        <v>22473.81</v>
      </c>
    </row>
    <row r="643" spans="1:3" x14ac:dyDescent="0.35">
      <c r="A643" t="s">
        <v>322</v>
      </c>
      <c r="B643" s="128">
        <v>44384</v>
      </c>
      <c r="C643">
        <v>22683.66</v>
      </c>
    </row>
    <row r="644" spans="1:3" x14ac:dyDescent="0.35">
      <c r="A644" t="s">
        <v>322</v>
      </c>
      <c r="B644" s="128">
        <v>44383</v>
      </c>
      <c r="C644">
        <v>22595.93</v>
      </c>
    </row>
    <row r="645" spans="1:3" x14ac:dyDescent="0.35">
      <c r="A645" t="s">
        <v>322</v>
      </c>
      <c r="B645" s="128">
        <v>44382</v>
      </c>
      <c r="C645">
        <v>22618.97</v>
      </c>
    </row>
    <row r="646" spans="1:3" x14ac:dyDescent="0.35">
      <c r="A646" t="s">
        <v>322</v>
      </c>
      <c r="B646" s="128">
        <v>44379</v>
      </c>
      <c r="C646">
        <v>22456.66</v>
      </c>
    </row>
    <row r="647" spans="1:3" x14ac:dyDescent="0.35">
      <c r="A647" t="s">
        <v>322</v>
      </c>
      <c r="B647" s="128">
        <v>44378</v>
      </c>
      <c r="C647">
        <v>22396.400000000001</v>
      </c>
    </row>
    <row r="648" spans="1:3" x14ac:dyDescent="0.35">
      <c r="A648" t="s">
        <v>322</v>
      </c>
      <c r="B648" s="128">
        <v>44377</v>
      </c>
      <c r="C648">
        <v>22455.7</v>
      </c>
    </row>
    <row r="649" spans="1:3" x14ac:dyDescent="0.35">
      <c r="A649" t="s">
        <v>322</v>
      </c>
      <c r="B649" s="128">
        <v>44376</v>
      </c>
      <c r="C649">
        <v>22493.599999999999</v>
      </c>
    </row>
    <row r="650" spans="1:3" x14ac:dyDescent="0.35">
      <c r="A650" t="s">
        <v>322</v>
      </c>
      <c r="B650" s="128">
        <v>44375</v>
      </c>
      <c r="C650">
        <v>22578.86</v>
      </c>
    </row>
    <row r="651" spans="1:3" x14ac:dyDescent="0.35">
      <c r="A651" t="s">
        <v>322</v>
      </c>
      <c r="B651" s="128">
        <v>44372</v>
      </c>
      <c r="C651">
        <v>22644.06</v>
      </c>
    </row>
    <row r="652" spans="1:3" x14ac:dyDescent="0.35">
      <c r="A652" t="s">
        <v>322</v>
      </c>
      <c r="B652" s="128">
        <v>44371</v>
      </c>
      <c r="C652">
        <v>22544.26</v>
      </c>
    </row>
    <row r="653" spans="1:3" x14ac:dyDescent="0.35">
      <c r="A653" t="s">
        <v>322</v>
      </c>
      <c r="B653" s="128">
        <v>44370</v>
      </c>
      <c r="C653">
        <v>22395.25</v>
      </c>
    </row>
    <row r="654" spans="1:3" x14ac:dyDescent="0.35">
      <c r="A654" t="s">
        <v>322</v>
      </c>
      <c r="B654" s="128">
        <v>44369</v>
      </c>
      <c r="C654">
        <v>22517.74</v>
      </c>
    </row>
    <row r="655" spans="1:3" x14ac:dyDescent="0.35">
      <c r="A655" t="s">
        <v>322</v>
      </c>
      <c r="B655" s="128">
        <v>44368</v>
      </c>
      <c r="C655">
        <v>22480.3</v>
      </c>
    </row>
    <row r="656" spans="1:3" x14ac:dyDescent="0.35">
      <c r="A656" t="s">
        <v>322</v>
      </c>
      <c r="B656" s="128">
        <v>44365</v>
      </c>
      <c r="C656">
        <v>22390.11</v>
      </c>
    </row>
    <row r="657" spans="1:3" x14ac:dyDescent="0.35">
      <c r="A657" t="s">
        <v>322</v>
      </c>
      <c r="B657" s="128">
        <v>44364</v>
      </c>
      <c r="C657">
        <v>22401.65</v>
      </c>
    </row>
    <row r="658" spans="1:3" x14ac:dyDescent="0.35">
      <c r="A658" t="s">
        <v>322</v>
      </c>
      <c r="B658" s="128">
        <v>44363</v>
      </c>
      <c r="C658">
        <v>22503.9</v>
      </c>
    </row>
    <row r="659" spans="1:3" x14ac:dyDescent="0.35">
      <c r="A659" t="s">
        <v>322</v>
      </c>
      <c r="B659" s="128">
        <v>44362</v>
      </c>
      <c r="C659">
        <v>22649.05</v>
      </c>
    </row>
    <row r="660" spans="1:3" x14ac:dyDescent="0.35">
      <c r="A660" t="s">
        <v>322</v>
      </c>
      <c r="B660" s="128">
        <v>44361</v>
      </c>
      <c r="C660">
        <v>22567.11</v>
      </c>
    </row>
    <row r="661" spans="1:3" x14ac:dyDescent="0.35">
      <c r="A661" t="s">
        <v>322</v>
      </c>
      <c r="B661" s="128">
        <v>44358</v>
      </c>
      <c r="C661">
        <v>22544.26</v>
      </c>
    </row>
    <row r="662" spans="1:3" x14ac:dyDescent="0.35">
      <c r="A662" t="s">
        <v>322</v>
      </c>
      <c r="B662" s="128">
        <v>44357</v>
      </c>
      <c r="C662">
        <v>22448.94</v>
      </c>
    </row>
    <row r="663" spans="1:3" x14ac:dyDescent="0.35">
      <c r="A663" t="s">
        <v>322</v>
      </c>
      <c r="B663" s="128">
        <v>44356</v>
      </c>
      <c r="C663">
        <v>22283.52</v>
      </c>
    </row>
    <row r="664" spans="1:3" x14ac:dyDescent="0.35">
      <c r="A664" t="s">
        <v>322</v>
      </c>
      <c r="B664" s="128">
        <v>44355</v>
      </c>
      <c r="C664">
        <v>22432.77</v>
      </c>
    </row>
    <row r="665" spans="1:3" x14ac:dyDescent="0.35">
      <c r="A665" t="s">
        <v>322</v>
      </c>
      <c r="B665" s="128">
        <v>44354</v>
      </c>
      <c r="C665">
        <v>22449.24</v>
      </c>
    </row>
    <row r="666" spans="1:3" x14ac:dyDescent="0.35">
      <c r="A666" t="s">
        <v>322</v>
      </c>
      <c r="B666" s="128">
        <v>44351</v>
      </c>
      <c r="C666">
        <v>22333.23</v>
      </c>
    </row>
    <row r="667" spans="1:3" x14ac:dyDescent="0.35">
      <c r="A667" t="s">
        <v>322</v>
      </c>
      <c r="B667" s="128">
        <v>44350</v>
      </c>
      <c r="C667">
        <v>22361.86</v>
      </c>
    </row>
    <row r="668" spans="1:3" x14ac:dyDescent="0.35">
      <c r="A668" t="s">
        <v>322</v>
      </c>
      <c r="B668" s="128">
        <v>44349</v>
      </c>
      <c r="C668">
        <v>22194.18</v>
      </c>
    </row>
    <row r="669" spans="1:3" x14ac:dyDescent="0.35">
      <c r="A669" t="s">
        <v>322</v>
      </c>
      <c r="B669" s="128">
        <v>44348</v>
      </c>
      <c r="C669">
        <v>22192.25</v>
      </c>
    </row>
    <row r="670" spans="1:3" x14ac:dyDescent="0.35">
      <c r="A670" t="s">
        <v>322</v>
      </c>
      <c r="B670" s="128">
        <v>44347</v>
      </c>
      <c r="C670">
        <v>22203.59</v>
      </c>
    </row>
    <row r="671" spans="1:3" x14ac:dyDescent="0.35">
      <c r="A671" t="s">
        <v>322</v>
      </c>
      <c r="B671" s="128">
        <v>44344</v>
      </c>
      <c r="C671">
        <v>21962.31</v>
      </c>
    </row>
    <row r="672" spans="1:3" x14ac:dyDescent="0.35">
      <c r="A672" t="s">
        <v>322</v>
      </c>
      <c r="B672" s="128">
        <v>44343</v>
      </c>
      <c r="C672">
        <v>21823.14</v>
      </c>
    </row>
    <row r="673" spans="1:3" x14ac:dyDescent="0.35">
      <c r="A673" t="s">
        <v>322</v>
      </c>
      <c r="B673" s="128">
        <v>44342</v>
      </c>
      <c r="C673">
        <v>21771.35</v>
      </c>
    </row>
    <row r="674" spans="1:3" x14ac:dyDescent="0.35">
      <c r="A674" t="s">
        <v>322</v>
      </c>
      <c r="B674" s="128">
        <v>44341</v>
      </c>
      <c r="C674">
        <v>21639.040000000001</v>
      </c>
    </row>
    <row r="675" spans="1:3" x14ac:dyDescent="0.35">
      <c r="A675" t="s">
        <v>322</v>
      </c>
      <c r="B675" s="128">
        <v>44340</v>
      </c>
      <c r="C675">
        <v>21617.03</v>
      </c>
    </row>
    <row r="676" spans="1:3" x14ac:dyDescent="0.35">
      <c r="A676" t="s">
        <v>322</v>
      </c>
      <c r="B676" s="128">
        <v>44337</v>
      </c>
      <c r="C676">
        <v>21585.18</v>
      </c>
    </row>
    <row r="677" spans="1:3" x14ac:dyDescent="0.35">
      <c r="A677" t="s">
        <v>322</v>
      </c>
      <c r="B677" s="128">
        <v>44336</v>
      </c>
      <c r="C677">
        <v>21202.21</v>
      </c>
    </row>
    <row r="678" spans="1:3" x14ac:dyDescent="0.35">
      <c r="A678" t="s">
        <v>322</v>
      </c>
      <c r="B678" s="128">
        <v>44335</v>
      </c>
      <c r="C678">
        <v>21378.71</v>
      </c>
    </row>
    <row r="679" spans="1:3" x14ac:dyDescent="0.35">
      <c r="A679" t="s">
        <v>322</v>
      </c>
      <c r="B679" s="128">
        <v>44334</v>
      </c>
      <c r="C679">
        <v>21489.56</v>
      </c>
    </row>
    <row r="680" spans="1:3" x14ac:dyDescent="0.35">
      <c r="A680" t="s">
        <v>322</v>
      </c>
      <c r="B680" s="128">
        <v>44333</v>
      </c>
      <c r="C680">
        <v>21226.53</v>
      </c>
    </row>
    <row r="681" spans="1:3" x14ac:dyDescent="0.35">
      <c r="A681" t="s">
        <v>322</v>
      </c>
      <c r="B681" s="128">
        <v>44330</v>
      </c>
      <c r="C681">
        <v>20877.560000000001</v>
      </c>
    </row>
    <row r="682" spans="1:3" x14ac:dyDescent="0.35">
      <c r="A682" t="s">
        <v>322</v>
      </c>
      <c r="B682" s="128">
        <v>44328</v>
      </c>
      <c r="C682">
        <v>20904.13</v>
      </c>
    </row>
    <row r="683" spans="1:3" x14ac:dyDescent="0.35">
      <c r="A683" t="s">
        <v>322</v>
      </c>
      <c r="B683" s="128">
        <v>44327</v>
      </c>
      <c r="C683">
        <v>21123.53</v>
      </c>
    </row>
    <row r="684" spans="1:3" x14ac:dyDescent="0.35">
      <c r="A684" t="s">
        <v>322</v>
      </c>
      <c r="B684" s="128">
        <v>44326</v>
      </c>
      <c r="C684">
        <v>21253.8</v>
      </c>
    </row>
    <row r="685" spans="1:3" x14ac:dyDescent="0.35">
      <c r="A685" t="s">
        <v>322</v>
      </c>
      <c r="B685" s="128">
        <v>44323</v>
      </c>
      <c r="C685">
        <v>21084.26</v>
      </c>
    </row>
    <row r="686" spans="1:3" x14ac:dyDescent="0.35">
      <c r="A686" t="s">
        <v>322</v>
      </c>
      <c r="B686" s="128">
        <v>44322</v>
      </c>
      <c r="C686">
        <v>20944.41</v>
      </c>
    </row>
    <row r="687" spans="1:3" x14ac:dyDescent="0.35">
      <c r="A687" t="s">
        <v>322</v>
      </c>
      <c r="B687" s="128">
        <v>44321</v>
      </c>
      <c r="C687">
        <v>20792.240000000002</v>
      </c>
    </row>
    <row r="688" spans="1:3" x14ac:dyDescent="0.35">
      <c r="A688" t="s">
        <v>322</v>
      </c>
      <c r="B688" s="128">
        <v>44320</v>
      </c>
      <c r="C688">
        <v>20619.62</v>
      </c>
    </row>
    <row r="689" spans="1:3" x14ac:dyDescent="0.35">
      <c r="A689" t="s">
        <v>322</v>
      </c>
      <c r="B689" s="128">
        <v>44319</v>
      </c>
      <c r="C689">
        <v>20815.43</v>
      </c>
    </row>
    <row r="690" spans="1:3" x14ac:dyDescent="0.35">
      <c r="A690" t="s">
        <v>322</v>
      </c>
      <c r="B690" s="128">
        <v>44316</v>
      </c>
      <c r="C690">
        <v>20811.13</v>
      </c>
    </row>
    <row r="691" spans="1:3" x14ac:dyDescent="0.35">
      <c r="A691" t="s">
        <v>322</v>
      </c>
      <c r="B691" s="128">
        <v>44315</v>
      </c>
      <c r="C691">
        <v>21186.3</v>
      </c>
    </row>
    <row r="692" spans="1:3" x14ac:dyDescent="0.35">
      <c r="A692" t="s">
        <v>322</v>
      </c>
      <c r="B692" s="128">
        <v>44314</v>
      </c>
      <c r="C692">
        <v>21136.41</v>
      </c>
    </row>
    <row r="693" spans="1:3" x14ac:dyDescent="0.35">
      <c r="A693" t="s">
        <v>322</v>
      </c>
      <c r="B693" s="128">
        <v>44313</v>
      </c>
      <c r="C693">
        <v>20835.669999999998</v>
      </c>
    </row>
    <row r="694" spans="1:3" x14ac:dyDescent="0.35">
      <c r="A694" t="s">
        <v>322</v>
      </c>
      <c r="B694" s="128">
        <v>44312</v>
      </c>
      <c r="C694">
        <v>20596.72</v>
      </c>
    </row>
    <row r="695" spans="1:3" x14ac:dyDescent="0.35">
      <c r="A695" t="s">
        <v>322</v>
      </c>
      <c r="B695" s="128">
        <v>44309</v>
      </c>
      <c r="C695">
        <v>20392.439999999999</v>
      </c>
    </row>
    <row r="696" spans="1:3" x14ac:dyDescent="0.35">
      <c r="A696" t="s">
        <v>322</v>
      </c>
      <c r="B696" s="128">
        <v>44308</v>
      </c>
      <c r="C696">
        <v>20484.63</v>
      </c>
    </row>
    <row r="697" spans="1:3" x14ac:dyDescent="0.35">
      <c r="A697" t="s">
        <v>322</v>
      </c>
      <c r="B697" s="128">
        <v>44306</v>
      </c>
      <c r="C697">
        <v>20328.55</v>
      </c>
    </row>
    <row r="698" spans="1:3" x14ac:dyDescent="0.35">
      <c r="A698" t="s">
        <v>322</v>
      </c>
      <c r="B698" s="128">
        <v>44305</v>
      </c>
      <c r="C698">
        <v>20418.16</v>
      </c>
    </row>
    <row r="699" spans="1:3" x14ac:dyDescent="0.35">
      <c r="A699" t="s">
        <v>322</v>
      </c>
      <c r="B699" s="128">
        <v>44302</v>
      </c>
      <c r="C699">
        <v>20785.61</v>
      </c>
    </row>
    <row r="700" spans="1:3" x14ac:dyDescent="0.35">
      <c r="A700" t="s">
        <v>322</v>
      </c>
      <c r="B700" s="128">
        <v>44301</v>
      </c>
      <c r="C700">
        <v>20733.88</v>
      </c>
    </row>
    <row r="701" spans="1:3" x14ac:dyDescent="0.35">
      <c r="A701" t="s">
        <v>322</v>
      </c>
      <c r="B701" s="128">
        <v>44299</v>
      </c>
      <c r="C701">
        <v>20624.86</v>
      </c>
    </row>
    <row r="702" spans="1:3" x14ac:dyDescent="0.35">
      <c r="A702" t="s">
        <v>322</v>
      </c>
      <c r="B702" s="128">
        <v>44298</v>
      </c>
      <c r="C702">
        <v>20348.990000000002</v>
      </c>
    </row>
    <row r="703" spans="1:3" x14ac:dyDescent="0.35">
      <c r="A703" t="s">
        <v>322</v>
      </c>
      <c r="B703" s="128">
        <v>44295</v>
      </c>
      <c r="C703">
        <v>21094.17</v>
      </c>
    </row>
    <row r="704" spans="1:3" x14ac:dyDescent="0.35">
      <c r="A704" t="s">
        <v>322</v>
      </c>
      <c r="B704" s="128">
        <v>44294</v>
      </c>
      <c r="C704">
        <v>21149.59</v>
      </c>
    </row>
    <row r="705" spans="1:3" x14ac:dyDescent="0.35">
      <c r="A705" t="s">
        <v>322</v>
      </c>
      <c r="B705" s="128">
        <v>44293</v>
      </c>
      <c r="C705">
        <v>21069.32</v>
      </c>
    </row>
    <row r="706" spans="1:3" x14ac:dyDescent="0.35">
      <c r="A706" t="s">
        <v>322</v>
      </c>
      <c r="B706" s="128">
        <v>44292</v>
      </c>
      <c r="C706">
        <v>20876.57</v>
      </c>
    </row>
    <row r="707" spans="1:3" x14ac:dyDescent="0.35">
      <c r="A707" t="s">
        <v>322</v>
      </c>
      <c r="B707" s="128">
        <v>44291</v>
      </c>
      <c r="C707">
        <v>20811.61</v>
      </c>
    </row>
    <row r="708" spans="1:3" x14ac:dyDescent="0.35">
      <c r="A708" t="s">
        <v>322</v>
      </c>
      <c r="B708" s="128">
        <v>44287</v>
      </c>
      <c r="C708">
        <v>21137.69</v>
      </c>
    </row>
    <row r="709" spans="1:3" x14ac:dyDescent="0.35">
      <c r="A709" t="s">
        <v>322</v>
      </c>
      <c r="B709" s="128">
        <v>44286</v>
      </c>
      <c r="C709">
        <v>20886.52</v>
      </c>
    </row>
    <row r="710" spans="1:3" x14ac:dyDescent="0.35">
      <c r="A710" t="s">
        <v>322</v>
      </c>
      <c r="B710" s="128">
        <v>44285</v>
      </c>
      <c r="C710">
        <v>21106.06</v>
      </c>
    </row>
    <row r="711" spans="1:3" x14ac:dyDescent="0.35">
      <c r="A711" t="s">
        <v>322</v>
      </c>
      <c r="B711" s="128">
        <v>44281</v>
      </c>
      <c r="C711">
        <v>20625.79</v>
      </c>
    </row>
    <row r="712" spans="1:3" x14ac:dyDescent="0.35">
      <c r="A712" t="s">
        <v>322</v>
      </c>
      <c r="B712" s="128">
        <v>44280</v>
      </c>
      <c r="C712">
        <v>20366.419999999998</v>
      </c>
    </row>
    <row r="713" spans="1:3" x14ac:dyDescent="0.35">
      <c r="A713" t="s">
        <v>322</v>
      </c>
      <c r="B713" s="128">
        <v>44279</v>
      </c>
      <c r="C713">
        <v>20684.27</v>
      </c>
    </row>
    <row r="714" spans="1:3" x14ac:dyDescent="0.35">
      <c r="A714" t="s">
        <v>322</v>
      </c>
      <c r="B714" s="128">
        <v>44278</v>
      </c>
      <c r="C714">
        <v>21061.52</v>
      </c>
    </row>
    <row r="715" spans="1:3" x14ac:dyDescent="0.35">
      <c r="A715" t="s">
        <v>322</v>
      </c>
      <c r="B715" s="128">
        <v>44277</v>
      </c>
      <c r="C715">
        <v>20947.650000000001</v>
      </c>
    </row>
    <row r="716" spans="1:3" x14ac:dyDescent="0.35">
      <c r="A716" t="s">
        <v>322</v>
      </c>
      <c r="B716" s="128">
        <v>44274</v>
      </c>
      <c r="C716">
        <v>20956.87</v>
      </c>
    </row>
    <row r="717" spans="1:3" x14ac:dyDescent="0.35">
      <c r="A717" t="s">
        <v>322</v>
      </c>
      <c r="B717" s="128">
        <v>44273</v>
      </c>
      <c r="C717">
        <v>20692.34</v>
      </c>
    </row>
    <row r="718" spans="1:3" x14ac:dyDescent="0.35">
      <c r="A718" t="s">
        <v>322</v>
      </c>
      <c r="B718" s="128">
        <v>44272</v>
      </c>
      <c r="C718">
        <v>20924.61</v>
      </c>
    </row>
    <row r="719" spans="1:3" x14ac:dyDescent="0.35">
      <c r="A719" t="s">
        <v>322</v>
      </c>
      <c r="B719" s="128">
        <v>44271</v>
      </c>
      <c r="C719">
        <v>21193.46</v>
      </c>
    </row>
    <row r="720" spans="1:3" x14ac:dyDescent="0.35">
      <c r="A720" t="s">
        <v>322</v>
      </c>
      <c r="B720" s="128">
        <v>44270</v>
      </c>
      <c r="C720">
        <v>21220.59</v>
      </c>
    </row>
    <row r="721" spans="1:3" x14ac:dyDescent="0.35">
      <c r="A721" t="s">
        <v>322</v>
      </c>
      <c r="B721" s="128">
        <v>44267</v>
      </c>
      <c r="C721">
        <v>21361.29</v>
      </c>
    </row>
    <row r="722" spans="1:3" x14ac:dyDescent="0.35">
      <c r="A722" t="s">
        <v>322</v>
      </c>
      <c r="B722" s="128">
        <v>44265</v>
      </c>
      <c r="C722">
        <v>21565.72</v>
      </c>
    </row>
    <row r="723" spans="1:3" x14ac:dyDescent="0.35">
      <c r="A723" t="s">
        <v>322</v>
      </c>
      <c r="B723" s="128">
        <v>44264</v>
      </c>
      <c r="C723">
        <v>21457.17</v>
      </c>
    </row>
    <row r="724" spans="1:3" x14ac:dyDescent="0.35">
      <c r="A724" t="s">
        <v>322</v>
      </c>
      <c r="B724" s="128">
        <v>44263</v>
      </c>
      <c r="C724">
        <v>21255.06</v>
      </c>
    </row>
    <row r="725" spans="1:3" x14ac:dyDescent="0.35">
      <c r="A725" t="s">
        <v>322</v>
      </c>
      <c r="B725" s="128">
        <v>44260</v>
      </c>
      <c r="C725">
        <v>21225.94</v>
      </c>
    </row>
    <row r="726" spans="1:3" x14ac:dyDescent="0.35">
      <c r="A726" t="s">
        <v>322</v>
      </c>
      <c r="B726" s="128">
        <v>44259</v>
      </c>
      <c r="C726">
        <v>21428.63</v>
      </c>
    </row>
    <row r="727" spans="1:3" x14ac:dyDescent="0.35">
      <c r="A727" t="s">
        <v>322</v>
      </c>
      <c r="B727" s="128">
        <v>44258</v>
      </c>
      <c r="C727">
        <v>21662.92</v>
      </c>
    </row>
    <row r="728" spans="1:3" x14ac:dyDescent="0.35">
      <c r="A728" t="s">
        <v>322</v>
      </c>
      <c r="B728" s="128">
        <v>44257</v>
      </c>
      <c r="C728">
        <v>21198.93</v>
      </c>
    </row>
    <row r="729" spans="1:3" x14ac:dyDescent="0.35">
      <c r="A729" t="s">
        <v>322</v>
      </c>
      <c r="B729" s="128">
        <v>44256</v>
      </c>
      <c r="C729">
        <v>20975.08</v>
      </c>
    </row>
    <row r="730" spans="1:3" x14ac:dyDescent="0.35">
      <c r="A730" t="s">
        <v>322</v>
      </c>
      <c r="B730" s="128">
        <v>44253</v>
      </c>
      <c r="C730">
        <v>20644.88</v>
      </c>
    </row>
    <row r="731" spans="1:3" x14ac:dyDescent="0.35">
      <c r="A731" t="s">
        <v>322</v>
      </c>
      <c r="B731" s="128">
        <v>44252</v>
      </c>
      <c r="C731">
        <v>21452.240000000002</v>
      </c>
    </row>
    <row r="732" spans="1:3" x14ac:dyDescent="0.35">
      <c r="A732" t="s">
        <v>322</v>
      </c>
      <c r="B732" s="128">
        <v>44251</v>
      </c>
      <c r="C732">
        <v>21288.35</v>
      </c>
    </row>
    <row r="733" spans="1:3" x14ac:dyDescent="0.35">
      <c r="A733" t="s">
        <v>322</v>
      </c>
      <c r="B733" s="128">
        <v>44250</v>
      </c>
      <c r="C733">
        <v>20898.75</v>
      </c>
    </row>
    <row r="734" spans="1:3" x14ac:dyDescent="0.35">
      <c r="A734" t="s">
        <v>322</v>
      </c>
      <c r="B734" s="128">
        <v>44249</v>
      </c>
      <c r="C734">
        <v>20853.12</v>
      </c>
    </row>
    <row r="735" spans="1:3" x14ac:dyDescent="0.35">
      <c r="A735" t="s">
        <v>322</v>
      </c>
      <c r="B735" s="128">
        <v>44246</v>
      </c>
      <c r="C735">
        <v>21273.279999999999</v>
      </c>
    </row>
    <row r="736" spans="1:3" x14ac:dyDescent="0.35">
      <c r="A736" t="s">
        <v>322</v>
      </c>
      <c r="B736" s="128">
        <v>44245</v>
      </c>
      <c r="C736">
        <v>21468.11</v>
      </c>
    </row>
    <row r="737" spans="1:3" x14ac:dyDescent="0.35">
      <c r="A737" t="s">
        <v>322</v>
      </c>
      <c r="B737" s="128">
        <v>44244</v>
      </c>
      <c r="C737">
        <v>21595.82</v>
      </c>
    </row>
    <row r="738" spans="1:3" x14ac:dyDescent="0.35">
      <c r="A738" t="s">
        <v>322</v>
      </c>
      <c r="B738" s="128">
        <v>44243</v>
      </c>
      <c r="C738">
        <v>21737.9</v>
      </c>
    </row>
    <row r="739" spans="1:3" x14ac:dyDescent="0.35">
      <c r="A739" t="s">
        <v>322</v>
      </c>
      <c r="B739" s="128">
        <v>44242</v>
      </c>
      <c r="C739">
        <v>21739.69</v>
      </c>
    </row>
    <row r="740" spans="1:3" x14ac:dyDescent="0.35">
      <c r="A740" t="s">
        <v>322</v>
      </c>
      <c r="B740" s="128">
        <v>44239</v>
      </c>
      <c r="C740">
        <v>21521.82</v>
      </c>
    </row>
    <row r="741" spans="1:3" x14ac:dyDescent="0.35">
      <c r="A741" t="s">
        <v>322</v>
      </c>
      <c r="B741" s="128">
        <v>44238</v>
      </c>
      <c r="C741">
        <v>21536</v>
      </c>
    </row>
    <row r="742" spans="1:3" x14ac:dyDescent="0.35">
      <c r="A742" t="s">
        <v>322</v>
      </c>
      <c r="B742" s="128">
        <v>44237</v>
      </c>
      <c r="C742">
        <v>21436.44</v>
      </c>
    </row>
    <row r="743" spans="1:3" x14ac:dyDescent="0.35">
      <c r="A743" t="s">
        <v>322</v>
      </c>
      <c r="B743" s="128">
        <v>44236</v>
      </c>
      <c r="C743">
        <v>21440.42</v>
      </c>
    </row>
    <row r="744" spans="1:3" x14ac:dyDescent="0.35">
      <c r="A744" t="s">
        <v>322</v>
      </c>
      <c r="B744" s="128">
        <v>44235</v>
      </c>
      <c r="C744">
        <v>21447.64</v>
      </c>
    </row>
    <row r="745" spans="1:3" x14ac:dyDescent="0.35">
      <c r="A745" t="s">
        <v>322</v>
      </c>
      <c r="B745" s="128">
        <v>44232</v>
      </c>
      <c r="C745">
        <v>21175.89</v>
      </c>
    </row>
    <row r="746" spans="1:3" x14ac:dyDescent="0.35">
      <c r="A746" t="s">
        <v>322</v>
      </c>
      <c r="B746" s="128">
        <v>44231</v>
      </c>
      <c r="C746">
        <v>21135.31</v>
      </c>
    </row>
    <row r="747" spans="1:3" x14ac:dyDescent="0.35">
      <c r="A747" t="s">
        <v>322</v>
      </c>
      <c r="B747" s="128">
        <v>44230</v>
      </c>
      <c r="C747">
        <v>20985.32</v>
      </c>
    </row>
    <row r="748" spans="1:3" x14ac:dyDescent="0.35">
      <c r="A748" t="s">
        <v>322</v>
      </c>
      <c r="B748" s="128">
        <v>44229</v>
      </c>
      <c r="C748">
        <v>20783.689999999999</v>
      </c>
    </row>
    <row r="749" spans="1:3" x14ac:dyDescent="0.35">
      <c r="A749" t="s">
        <v>322</v>
      </c>
      <c r="B749" s="128">
        <v>44228</v>
      </c>
      <c r="C749">
        <v>20263.439999999999</v>
      </c>
    </row>
    <row r="750" spans="1:3" x14ac:dyDescent="0.35">
      <c r="A750" t="s">
        <v>322</v>
      </c>
      <c r="B750" s="128">
        <v>44225</v>
      </c>
      <c r="C750">
        <v>19346.03</v>
      </c>
    </row>
    <row r="751" spans="1:3" x14ac:dyDescent="0.35">
      <c r="A751" t="s">
        <v>322</v>
      </c>
      <c r="B751" s="128">
        <v>44224</v>
      </c>
      <c r="C751">
        <v>19605.59</v>
      </c>
    </row>
    <row r="752" spans="1:3" x14ac:dyDescent="0.35">
      <c r="A752" t="s">
        <v>322</v>
      </c>
      <c r="B752" s="128">
        <v>44223</v>
      </c>
      <c r="C752">
        <v>19818.34</v>
      </c>
    </row>
    <row r="753" spans="1:3" x14ac:dyDescent="0.35">
      <c r="A753" t="s">
        <v>322</v>
      </c>
      <c r="B753" s="128">
        <v>44221</v>
      </c>
      <c r="C753">
        <v>20201.900000000001</v>
      </c>
    </row>
    <row r="754" spans="1:3" x14ac:dyDescent="0.35">
      <c r="A754" t="s">
        <v>322</v>
      </c>
      <c r="B754" s="128">
        <v>44218</v>
      </c>
      <c r="C754">
        <v>20390.57</v>
      </c>
    </row>
    <row r="755" spans="1:3" x14ac:dyDescent="0.35">
      <c r="A755" t="s">
        <v>322</v>
      </c>
      <c r="B755" s="128">
        <v>44217</v>
      </c>
      <c r="C755">
        <v>20700.02</v>
      </c>
    </row>
    <row r="756" spans="1:3" x14ac:dyDescent="0.35">
      <c r="A756" t="s">
        <v>322</v>
      </c>
      <c r="B756" s="128">
        <v>44216</v>
      </c>
      <c r="C756">
        <v>20775.669999999998</v>
      </c>
    </row>
    <row r="757" spans="1:3" x14ac:dyDescent="0.35">
      <c r="A757" t="s">
        <v>322</v>
      </c>
      <c r="B757" s="128">
        <v>44215</v>
      </c>
      <c r="C757">
        <v>20600.41</v>
      </c>
    </row>
    <row r="758" spans="1:3" x14ac:dyDescent="0.35">
      <c r="A758" t="s">
        <v>322</v>
      </c>
      <c r="B758" s="128">
        <v>44214</v>
      </c>
      <c r="C758">
        <v>20260.18</v>
      </c>
    </row>
    <row r="759" spans="1:3" x14ac:dyDescent="0.35">
      <c r="A759" t="s">
        <v>322</v>
      </c>
      <c r="B759" s="128">
        <v>44211</v>
      </c>
      <c r="C759">
        <v>20476.38</v>
      </c>
    </row>
    <row r="760" spans="1:3" x14ac:dyDescent="0.35">
      <c r="A760" t="s">
        <v>322</v>
      </c>
      <c r="B760" s="128">
        <v>44210</v>
      </c>
      <c r="C760">
        <v>20706.07</v>
      </c>
    </row>
    <row r="761" spans="1:3" x14ac:dyDescent="0.35">
      <c r="A761" t="s">
        <v>322</v>
      </c>
      <c r="B761" s="128">
        <v>44209</v>
      </c>
      <c r="C761">
        <v>20660.349999999999</v>
      </c>
    </row>
    <row r="762" spans="1:3" x14ac:dyDescent="0.35">
      <c r="A762" t="s">
        <v>322</v>
      </c>
      <c r="B762" s="128">
        <v>44208</v>
      </c>
      <c r="C762">
        <v>20658.34</v>
      </c>
    </row>
    <row r="763" spans="1:3" x14ac:dyDescent="0.35">
      <c r="A763" t="s">
        <v>322</v>
      </c>
      <c r="B763" s="128">
        <v>44207</v>
      </c>
      <c r="C763">
        <v>20546.740000000002</v>
      </c>
    </row>
    <row r="764" spans="1:3" x14ac:dyDescent="0.35">
      <c r="A764" t="s">
        <v>322</v>
      </c>
      <c r="B764" s="128">
        <v>44204</v>
      </c>
      <c r="C764">
        <v>20351.669999999998</v>
      </c>
    </row>
    <row r="765" spans="1:3" x14ac:dyDescent="0.35">
      <c r="A765" t="s">
        <v>322</v>
      </c>
      <c r="B765" s="128">
        <v>44203</v>
      </c>
      <c r="C765">
        <v>20053.97</v>
      </c>
    </row>
    <row r="766" spans="1:3" x14ac:dyDescent="0.35">
      <c r="A766" t="s">
        <v>322</v>
      </c>
      <c r="B766" s="128">
        <v>44202</v>
      </c>
      <c r="C766">
        <v>20066.560000000001</v>
      </c>
    </row>
    <row r="767" spans="1:3" x14ac:dyDescent="0.35">
      <c r="A767" t="s">
        <v>322</v>
      </c>
      <c r="B767" s="128">
        <v>44201</v>
      </c>
      <c r="C767">
        <v>20142.13</v>
      </c>
    </row>
    <row r="768" spans="1:3" x14ac:dyDescent="0.35">
      <c r="A768" t="s">
        <v>322</v>
      </c>
      <c r="B768" s="128">
        <v>44200</v>
      </c>
      <c r="C768">
        <v>20047.61</v>
      </c>
    </row>
    <row r="769" spans="1:3" x14ac:dyDescent="0.35">
      <c r="A769" t="s">
        <v>322</v>
      </c>
      <c r="B769" s="128">
        <v>44197</v>
      </c>
      <c r="C769">
        <v>19885.36</v>
      </c>
    </row>
    <row r="770" spans="1:3" x14ac:dyDescent="0.35">
      <c r="A770" t="s">
        <v>322</v>
      </c>
      <c r="B770" s="128">
        <v>44196</v>
      </c>
      <c r="C770">
        <v>19833.189999999999</v>
      </c>
    </row>
    <row r="771" spans="1:3" x14ac:dyDescent="0.35">
      <c r="A771" t="s">
        <v>322</v>
      </c>
      <c r="B771" s="128">
        <v>44195</v>
      </c>
      <c r="C771">
        <v>19833.53</v>
      </c>
    </row>
    <row r="772" spans="1:3" x14ac:dyDescent="0.35">
      <c r="A772" t="s">
        <v>322</v>
      </c>
      <c r="B772" s="128">
        <v>44194</v>
      </c>
      <c r="C772">
        <v>19763.509999999998</v>
      </c>
    </row>
    <row r="773" spans="1:3" x14ac:dyDescent="0.35">
      <c r="A773" t="s">
        <v>322</v>
      </c>
      <c r="B773" s="128">
        <v>44193</v>
      </c>
      <c r="C773">
        <v>19679.240000000002</v>
      </c>
    </row>
    <row r="774" spans="1:3" x14ac:dyDescent="0.35">
      <c r="A774" t="s">
        <v>322</v>
      </c>
      <c r="B774" s="128">
        <v>44189</v>
      </c>
      <c r="C774">
        <v>19503.400000000001</v>
      </c>
    </row>
    <row r="775" spans="1:3" x14ac:dyDescent="0.35">
      <c r="A775" t="s">
        <v>322</v>
      </c>
      <c r="B775" s="128">
        <v>44188</v>
      </c>
      <c r="C775">
        <v>19293.259999999998</v>
      </c>
    </row>
    <row r="776" spans="1:3" x14ac:dyDescent="0.35">
      <c r="A776" t="s">
        <v>322</v>
      </c>
      <c r="B776" s="128">
        <v>44187</v>
      </c>
      <c r="C776">
        <v>19102.060000000001</v>
      </c>
    </row>
    <row r="777" spans="1:3" x14ac:dyDescent="0.35">
      <c r="A777" t="s">
        <v>322</v>
      </c>
      <c r="B777" s="128">
        <v>44186</v>
      </c>
      <c r="C777">
        <v>18906.45</v>
      </c>
    </row>
    <row r="778" spans="1:3" x14ac:dyDescent="0.35">
      <c r="A778" t="s">
        <v>322</v>
      </c>
      <c r="B778" s="128">
        <v>44183</v>
      </c>
      <c r="C778">
        <v>19519.419999999998</v>
      </c>
    </row>
    <row r="779" spans="1:3" x14ac:dyDescent="0.35">
      <c r="A779" t="s">
        <v>322</v>
      </c>
      <c r="B779" s="128">
        <v>44182</v>
      </c>
      <c r="C779">
        <v>19491.3</v>
      </c>
    </row>
    <row r="780" spans="1:3" x14ac:dyDescent="0.35">
      <c r="A780" t="s">
        <v>322</v>
      </c>
      <c r="B780" s="128">
        <v>44181</v>
      </c>
      <c r="C780">
        <v>19404.8</v>
      </c>
    </row>
    <row r="781" spans="1:3" x14ac:dyDescent="0.35">
      <c r="A781" t="s">
        <v>322</v>
      </c>
      <c r="B781" s="128">
        <v>44180</v>
      </c>
      <c r="C781">
        <v>19241.900000000001</v>
      </c>
    </row>
    <row r="782" spans="1:3" x14ac:dyDescent="0.35">
      <c r="A782" t="s">
        <v>322</v>
      </c>
      <c r="B782" s="128">
        <v>44179</v>
      </c>
      <c r="C782">
        <v>19228.16</v>
      </c>
    </row>
    <row r="783" spans="1:3" x14ac:dyDescent="0.35">
      <c r="A783" t="s">
        <v>322</v>
      </c>
      <c r="B783" s="128">
        <v>44176</v>
      </c>
      <c r="C783">
        <v>19165.330000000002</v>
      </c>
    </row>
    <row r="784" spans="1:3" x14ac:dyDescent="0.35">
      <c r="A784" t="s">
        <v>322</v>
      </c>
      <c r="B784" s="128">
        <v>44175</v>
      </c>
      <c r="C784">
        <v>19114.96</v>
      </c>
    </row>
    <row r="785" spans="1:3" x14ac:dyDescent="0.35">
      <c r="A785" t="s">
        <v>322</v>
      </c>
      <c r="B785" s="128">
        <v>44174</v>
      </c>
      <c r="C785">
        <v>19186.95</v>
      </c>
    </row>
    <row r="786" spans="1:3" x14ac:dyDescent="0.35">
      <c r="A786" t="s">
        <v>322</v>
      </c>
      <c r="B786" s="128">
        <v>44173</v>
      </c>
      <c r="C786">
        <v>18993.86</v>
      </c>
    </row>
    <row r="787" spans="1:3" x14ac:dyDescent="0.35">
      <c r="A787" t="s">
        <v>322</v>
      </c>
      <c r="B787" s="128">
        <v>44172</v>
      </c>
      <c r="C787">
        <v>18941.150000000001</v>
      </c>
    </row>
    <row r="788" spans="1:3" x14ac:dyDescent="0.35">
      <c r="A788" t="s">
        <v>322</v>
      </c>
      <c r="B788" s="128">
        <v>44169</v>
      </c>
      <c r="C788">
        <v>18803.27</v>
      </c>
    </row>
    <row r="789" spans="1:3" x14ac:dyDescent="0.35">
      <c r="A789" t="s">
        <v>322</v>
      </c>
      <c r="B789" s="128">
        <v>44168</v>
      </c>
      <c r="C789">
        <v>18626.53</v>
      </c>
    </row>
    <row r="790" spans="1:3" x14ac:dyDescent="0.35">
      <c r="A790" t="s">
        <v>322</v>
      </c>
      <c r="B790" s="128">
        <v>44167</v>
      </c>
      <c r="C790">
        <v>18597.900000000001</v>
      </c>
    </row>
    <row r="791" spans="1:3" x14ac:dyDescent="0.35">
      <c r="A791" t="s">
        <v>322</v>
      </c>
      <c r="B791" s="128">
        <v>44166</v>
      </c>
      <c r="C791">
        <v>18591.25</v>
      </c>
    </row>
    <row r="792" spans="1:3" x14ac:dyDescent="0.35">
      <c r="A792" t="s">
        <v>322</v>
      </c>
      <c r="B792" s="128">
        <v>44162</v>
      </c>
      <c r="C792">
        <v>18392.54</v>
      </c>
    </row>
    <row r="793" spans="1:3" x14ac:dyDescent="0.35">
      <c r="A793" t="s">
        <v>322</v>
      </c>
      <c r="B793" s="128">
        <v>44161</v>
      </c>
      <c r="C793">
        <v>18418.16</v>
      </c>
    </row>
    <row r="794" spans="1:3" x14ac:dyDescent="0.35">
      <c r="A794" t="s">
        <v>322</v>
      </c>
      <c r="B794" s="128">
        <v>44160</v>
      </c>
      <c r="C794">
        <v>18235.759999999998</v>
      </c>
    </row>
    <row r="795" spans="1:3" x14ac:dyDescent="0.35">
      <c r="A795" t="s">
        <v>322</v>
      </c>
      <c r="B795" s="128">
        <v>44159</v>
      </c>
      <c r="C795">
        <v>18514.82</v>
      </c>
    </row>
    <row r="796" spans="1:3" x14ac:dyDescent="0.35">
      <c r="A796" t="s">
        <v>322</v>
      </c>
      <c r="B796" s="128">
        <v>44158</v>
      </c>
      <c r="C796">
        <v>18332.330000000002</v>
      </c>
    </row>
    <row r="797" spans="1:3" x14ac:dyDescent="0.35">
      <c r="A797" t="s">
        <v>322</v>
      </c>
      <c r="B797" s="128">
        <v>44155</v>
      </c>
      <c r="C797">
        <v>18236.68</v>
      </c>
    </row>
    <row r="798" spans="1:3" x14ac:dyDescent="0.35">
      <c r="A798" t="s">
        <v>322</v>
      </c>
      <c r="B798" s="128">
        <v>44154</v>
      </c>
      <c r="C798">
        <v>18112.830000000002</v>
      </c>
    </row>
    <row r="799" spans="1:3" x14ac:dyDescent="0.35">
      <c r="A799" t="s">
        <v>322</v>
      </c>
      <c r="B799" s="128">
        <v>44153</v>
      </c>
      <c r="C799">
        <v>18349.02</v>
      </c>
    </row>
    <row r="800" spans="1:3" x14ac:dyDescent="0.35">
      <c r="A800" t="s">
        <v>322</v>
      </c>
      <c r="B800" s="128">
        <v>44152</v>
      </c>
      <c r="C800">
        <v>18258.23</v>
      </c>
    </row>
    <row r="801" spans="1:3" x14ac:dyDescent="0.35">
      <c r="A801" t="s">
        <v>322</v>
      </c>
      <c r="B801" s="128">
        <v>44149</v>
      </c>
      <c r="C801">
        <v>18124.93</v>
      </c>
    </row>
    <row r="802" spans="1:3" x14ac:dyDescent="0.35">
      <c r="A802" t="s">
        <v>322</v>
      </c>
      <c r="B802" s="128">
        <v>44148</v>
      </c>
      <c r="C802">
        <v>18039.439999999999</v>
      </c>
    </row>
    <row r="803" spans="1:3" x14ac:dyDescent="0.35">
      <c r="A803" t="s">
        <v>322</v>
      </c>
      <c r="B803" s="128">
        <v>44147</v>
      </c>
      <c r="C803">
        <v>17998.11</v>
      </c>
    </row>
    <row r="804" spans="1:3" x14ac:dyDescent="0.35">
      <c r="A804" t="s">
        <v>322</v>
      </c>
      <c r="B804" s="128">
        <v>44146</v>
      </c>
      <c r="C804">
        <v>18080.84</v>
      </c>
    </row>
    <row r="805" spans="1:3" x14ac:dyDescent="0.35">
      <c r="A805" t="s">
        <v>322</v>
      </c>
      <c r="B805" s="128">
        <v>44145</v>
      </c>
      <c r="C805">
        <v>17913.400000000001</v>
      </c>
    </row>
    <row r="806" spans="1:3" x14ac:dyDescent="0.35">
      <c r="A806" t="s">
        <v>322</v>
      </c>
      <c r="B806" s="128">
        <v>44144</v>
      </c>
      <c r="C806">
        <v>17672.25</v>
      </c>
    </row>
    <row r="807" spans="1:3" x14ac:dyDescent="0.35">
      <c r="A807" t="s">
        <v>322</v>
      </c>
      <c r="B807" s="128">
        <v>44141</v>
      </c>
      <c r="C807">
        <v>17392.14</v>
      </c>
    </row>
    <row r="808" spans="1:3" x14ac:dyDescent="0.35">
      <c r="A808" t="s">
        <v>322</v>
      </c>
      <c r="B808" s="128">
        <v>44140</v>
      </c>
      <c r="C808">
        <v>17189.03</v>
      </c>
    </row>
    <row r="809" spans="1:3" x14ac:dyDescent="0.35">
      <c r="A809" t="s">
        <v>322</v>
      </c>
      <c r="B809" s="128">
        <v>44139</v>
      </c>
      <c r="C809">
        <v>16888.650000000001</v>
      </c>
    </row>
    <row r="810" spans="1:3" x14ac:dyDescent="0.35">
      <c r="A810" t="s">
        <v>322</v>
      </c>
      <c r="B810" s="128">
        <v>44138</v>
      </c>
      <c r="C810">
        <v>16746.75</v>
      </c>
    </row>
    <row r="811" spans="1:3" x14ac:dyDescent="0.35">
      <c r="A811" t="s">
        <v>322</v>
      </c>
      <c r="B811" s="128">
        <v>44137</v>
      </c>
      <c r="C811">
        <v>16542.080000000002</v>
      </c>
    </row>
    <row r="812" spans="1:3" x14ac:dyDescent="0.35">
      <c r="A812" t="s">
        <v>322</v>
      </c>
      <c r="B812" s="128">
        <v>44134</v>
      </c>
      <c r="C812">
        <v>16504.16</v>
      </c>
    </row>
    <row r="813" spans="1:3" x14ac:dyDescent="0.35">
      <c r="A813" t="s">
        <v>322</v>
      </c>
      <c r="B813" s="128">
        <v>44133</v>
      </c>
      <c r="C813">
        <v>16544.45</v>
      </c>
    </row>
    <row r="814" spans="1:3" x14ac:dyDescent="0.35">
      <c r="A814" t="s">
        <v>322</v>
      </c>
      <c r="B814" s="128">
        <v>44132</v>
      </c>
      <c r="C814">
        <v>16623.13</v>
      </c>
    </row>
    <row r="815" spans="1:3" x14ac:dyDescent="0.35">
      <c r="A815" t="s">
        <v>322</v>
      </c>
      <c r="B815" s="128">
        <v>44131</v>
      </c>
      <c r="C815">
        <v>16844.96</v>
      </c>
    </row>
    <row r="816" spans="1:3" x14ac:dyDescent="0.35">
      <c r="A816" t="s">
        <v>322</v>
      </c>
      <c r="B816" s="128">
        <v>44130</v>
      </c>
      <c r="C816">
        <v>16672.62</v>
      </c>
    </row>
    <row r="817" spans="1:3" x14ac:dyDescent="0.35">
      <c r="A817" t="s">
        <v>322</v>
      </c>
      <c r="B817" s="128">
        <v>44127</v>
      </c>
      <c r="C817">
        <v>16902.96</v>
      </c>
    </row>
    <row r="818" spans="1:3" x14ac:dyDescent="0.35">
      <c r="A818" t="s">
        <v>322</v>
      </c>
      <c r="B818" s="128">
        <v>44126</v>
      </c>
      <c r="C818">
        <v>16840.52</v>
      </c>
    </row>
    <row r="819" spans="1:3" x14ac:dyDescent="0.35">
      <c r="A819" t="s">
        <v>322</v>
      </c>
      <c r="B819" s="128">
        <v>44125</v>
      </c>
      <c r="C819">
        <v>16897.43</v>
      </c>
    </row>
    <row r="820" spans="1:3" x14ac:dyDescent="0.35">
      <c r="A820" t="s">
        <v>322</v>
      </c>
      <c r="B820" s="128">
        <v>44124</v>
      </c>
      <c r="C820">
        <v>16839.599999999999</v>
      </c>
    </row>
    <row r="821" spans="1:3" x14ac:dyDescent="0.35">
      <c r="A821" t="s">
        <v>322</v>
      </c>
      <c r="B821" s="128">
        <v>44123</v>
      </c>
      <c r="C821">
        <v>16805.97</v>
      </c>
    </row>
    <row r="822" spans="1:3" x14ac:dyDescent="0.35">
      <c r="A822" t="s">
        <v>322</v>
      </c>
      <c r="B822" s="128">
        <v>44120</v>
      </c>
      <c r="C822">
        <v>16649.46</v>
      </c>
    </row>
    <row r="823" spans="1:3" x14ac:dyDescent="0.35">
      <c r="A823" t="s">
        <v>322</v>
      </c>
      <c r="B823" s="128">
        <v>44119</v>
      </c>
      <c r="C823">
        <v>16533.240000000002</v>
      </c>
    </row>
    <row r="824" spans="1:3" x14ac:dyDescent="0.35">
      <c r="A824" t="s">
        <v>322</v>
      </c>
      <c r="B824" s="128">
        <v>44118</v>
      </c>
      <c r="C824">
        <v>16944.73</v>
      </c>
    </row>
    <row r="825" spans="1:3" x14ac:dyDescent="0.35">
      <c r="A825" t="s">
        <v>322</v>
      </c>
      <c r="B825" s="128">
        <v>44117</v>
      </c>
      <c r="C825">
        <v>16888.87</v>
      </c>
    </row>
    <row r="826" spans="1:3" x14ac:dyDescent="0.35">
      <c r="A826" t="s">
        <v>322</v>
      </c>
      <c r="B826" s="128">
        <v>44116</v>
      </c>
      <c r="C826">
        <v>16883.84</v>
      </c>
    </row>
    <row r="827" spans="1:3" x14ac:dyDescent="0.35">
      <c r="A827" t="s">
        <v>322</v>
      </c>
      <c r="B827" s="128">
        <v>44113</v>
      </c>
      <c r="C827">
        <v>16860.11</v>
      </c>
    </row>
    <row r="828" spans="1:3" x14ac:dyDescent="0.35">
      <c r="A828" t="s">
        <v>322</v>
      </c>
      <c r="B828" s="128">
        <v>44112</v>
      </c>
      <c r="C828">
        <v>16747.48</v>
      </c>
    </row>
    <row r="829" spans="1:3" x14ac:dyDescent="0.35">
      <c r="A829" t="s">
        <v>322</v>
      </c>
      <c r="B829" s="128">
        <v>44111</v>
      </c>
      <c r="C829">
        <v>16611.96</v>
      </c>
    </row>
    <row r="830" spans="1:3" x14ac:dyDescent="0.35">
      <c r="A830" t="s">
        <v>322</v>
      </c>
      <c r="B830" s="128">
        <v>44110</v>
      </c>
      <c r="C830">
        <v>16503.77</v>
      </c>
    </row>
    <row r="831" spans="1:3" x14ac:dyDescent="0.35">
      <c r="A831" t="s">
        <v>322</v>
      </c>
      <c r="B831" s="128">
        <v>44109</v>
      </c>
      <c r="C831">
        <v>16278.72</v>
      </c>
    </row>
    <row r="832" spans="1:3" x14ac:dyDescent="0.35">
      <c r="A832" t="s">
        <v>322</v>
      </c>
      <c r="B832" s="128">
        <v>44105</v>
      </c>
      <c r="C832">
        <v>16156.44</v>
      </c>
    </row>
    <row r="833" spans="1:3" x14ac:dyDescent="0.35">
      <c r="A833" t="s">
        <v>322</v>
      </c>
      <c r="B833" s="128">
        <v>44104</v>
      </c>
      <c r="C833">
        <v>15916.72</v>
      </c>
    </row>
    <row r="834" spans="1:3" x14ac:dyDescent="0.35">
      <c r="A834" t="s">
        <v>322</v>
      </c>
      <c r="B834" s="128">
        <v>44103</v>
      </c>
      <c r="C834">
        <v>15881.16</v>
      </c>
    </row>
    <row r="835" spans="1:3" x14ac:dyDescent="0.35">
      <c r="A835" t="s">
        <v>322</v>
      </c>
      <c r="B835" s="128">
        <v>44102</v>
      </c>
      <c r="C835">
        <v>15888.44</v>
      </c>
    </row>
    <row r="836" spans="1:3" x14ac:dyDescent="0.35">
      <c r="A836" t="s">
        <v>322</v>
      </c>
      <c r="B836" s="128">
        <v>44099</v>
      </c>
      <c r="C836">
        <v>15637.53</v>
      </c>
    </row>
    <row r="837" spans="1:3" x14ac:dyDescent="0.35">
      <c r="A837" t="s">
        <v>322</v>
      </c>
      <c r="B837" s="128">
        <v>44098</v>
      </c>
      <c r="C837">
        <v>15291.25</v>
      </c>
    </row>
    <row r="838" spans="1:3" x14ac:dyDescent="0.35">
      <c r="A838" t="s">
        <v>322</v>
      </c>
      <c r="B838" s="128">
        <v>44097</v>
      </c>
      <c r="C838">
        <v>15752.97</v>
      </c>
    </row>
    <row r="839" spans="1:3" x14ac:dyDescent="0.35">
      <c r="A839" t="s">
        <v>322</v>
      </c>
      <c r="B839" s="128">
        <v>44096</v>
      </c>
      <c r="C839">
        <v>15783.87</v>
      </c>
    </row>
    <row r="840" spans="1:3" x14ac:dyDescent="0.35">
      <c r="A840" t="s">
        <v>322</v>
      </c>
      <c r="B840" s="128">
        <v>44095</v>
      </c>
      <c r="C840">
        <v>15920.99</v>
      </c>
    </row>
    <row r="841" spans="1:3" x14ac:dyDescent="0.35">
      <c r="A841" t="s">
        <v>322</v>
      </c>
      <c r="B841" s="128">
        <v>44092</v>
      </c>
      <c r="C841">
        <v>16281</v>
      </c>
    </row>
    <row r="842" spans="1:3" x14ac:dyDescent="0.35">
      <c r="A842" t="s">
        <v>322</v>
      </c>
      <c r="B842" s="128">
        <v>44091</v>
      </c>
      <c r="C842">
        <v>16296.78</v>
      </c>
    </row>
    <row r="843" spans="1:3" x14ac:dyDescent="0.35">
      <c r="A843" t="s">
        <v>322</v>
      </c>
      <c r="B843" s="128">
        <v>44090</v>
      </c>
      <c r="C843">
        <v>16421.95</v>
      </c>
    </row>
    <row r="844" spans="1:3" x14ac:dyDescent="0.35">
      <c r="A844" t="s">
        <v>322</v>
      </c>
      <c r="B844" s="128">
        <v>44089</v>
      </c>
      <c r="C844">
        <v>16304.84</v>
      </c>
    </row>
    <row r="845" spans="1:3" x14ac:dyDescent="0.35">
      <c r="A845" t="s">
        <v>322</v>
      </c>
      <c r="B845" s="128">
        <v>44088</v>
      </c>
      <c r="C845">
        <v>16189.14</v>
      </c>
    </row>
    <row r="846" spans="1:3" x14ac:dyDescent="0.35">
      <c r="A846" t="s">
        <v>322</v>
      </c>
      <c r="B846" s="128">
        <v>44085</v>
      </c>
      <c r="C846">
        <v>16222.92</v>
      </c>
    </row>
    <row r="847" spans="1:3" x14ac:dyDescent="0.35">
      <c r="A847" t="s">
        <v>322</v>
      </c>
      <c r="B847" s="128">
        <v>44084</v>
      </c>
      <c r="C847">
        <v>16201.44</v>
      </c>
    </row>
    <row r="848" spans="1:3" x14ac:dyDescent="0.35">
      <c r="A848" t="s">
        <v>322</v>
      </c>
      <c r="B848" s="128">
        <v>44083</v>
      </c>
      <c r="C848">
        <v>15958.99</v>
      </c>
    </row>
    <row r="849" spans="1:3" x14ac:dyDescent="0.35">
      <c r="A849" t="s">
        <v>322</v>
      </c>
      <c r="B849" s="128">
        <v>44082</v>
      </c>
      <c r="C849">
        <v>16014.67</v>
      </c>
    </row>
    <row r="850" spans="1:3" x14ac:dyDescent="0.35">
      <c r="A850" t="s">
        <v>322</v>
      </c>
      <c r="B850" s="128">
        <v>44081</v>
      </c>
      <c r="C850">
        <v>16068.06</v>
      </c>
    </row>
    <row r="851" spans="1:3" x14ac:dyDescent="0.35">
      <c r="A851" t="s">
        <v>322</v>
      </c>
      <c r="B851" s="128">
        <v>44078</v>
      </c>
      <c r="C851">
        <v>16038.07</v>
      </c>
    </row>
    <row r="852" spans="1:3" x14ac:dyDescent="0.35">
      <c r="A852" t="s">
        <v>322</v>
      </c>
      <c r="B852" s="128">
        <v>44077</v>
      </c>
      <c r="C852">
        <v>16311.99</v>
      </c>
    </row>
    <row r="853" spans="1:3" x14ac:dyDescent="0.35">
      <c r="A853" t="s">
        <v>322</v>
      </c>
      <c r="B853" s="128">
        <v>44076</v>
      </c>
      <c r="C853">
        <v>16322.17</v>
      </c>
    </row>
    <row r="854" spans="1:3" x14ac:dyDescent="0.35">
      <c r="A854" t="s">
        <v>322</v>
      </c>
      <c r="B854" s="128">
        <v>44075</v>
      </c>
      <c r="C854">
        <v>16227.14</v>
      </c>
    </row>
    <row r="855" spans="1:3" x14ac:dyDescent="0.35">
      <c r="A855" t="s">
        <v>322</v>
      </c>
      <c r="B855" s="128">
        <v>44074</v>
      </c>
      <c r="C855">
        <v>16110.07</v>
      </c>
    </row>
    <row r="856" spans="1:3" x14ac:dyDescent="0.35">
      <c r="A856" t="s">
        <v>322</v>
      </c>
      <c r="B856" s="128">
        <v>44071</v>
      </c>
      <c r="C856">
        <v>16478.009999999998</v>
      </c>
    </row>
    <row r="857" spans="1:3" x14ac:dyDescent="0.35">
      <c r="A857" t="s">
        <v>322</v>
      </c>
      <c r="B857" s="128">
        <v>44070</v>
      </c>
      <c r="C857">
        <v>16353.08</v>
      </c>
    </row>
    <row r="858" spans="1:3" x14ac:dyDescent="0.35">
      <c r="A858" t="s">
        <v>322</v>
      </c>
      <c r="B858" s="128">
        <v>44069</v>
      </c>
      <c r="C858">
        <v>16339.41</v>
      </c>
    </row>
    <row r="859" spans="1:3" x14ac:dyDescent="0.35">
      <c r="A859" t="s">
        <v>322</v>
      </c>
      <c r="B859" s="128">
        <v>44068</v>
      </c>
      <c r="C859">
        <v>16226.2</v>
      </c>
    </row>
    <row r="860" spans="1:3" x14ac:dyDescent="0.35">
      <c r="A860" t="s">
        <v>322</v>
      </c>
      <c r="B860" s="128">
        <v>44067</v>
      </c>
      <c r="C860">
        <v>16218.02</v>
      </c>
    </row>
    <row r="861" spans="1:3" x14ac:dyDescent="0.35">
      <c r="A861" t="s">
        <v>322</v>
      </c>
      <c r="B861" s="128">
        <v>44064</v>
      </c>
      <c r="C861">
        <v>16083.84</v>
      </c>
    </row>
    <row r="862" spans="1:3" x14ac:dyDescent="0.35">
      <c r="A862" t="s">
        <v>322</v>
      </c>
      <c r="B862" s="128">
        <v>44063</v>
      </c>
      <c r="C862">
        <v>15999.86</v>
      </c>
    </row>
    <row r="863" spans="1:3" x14ac:dyDescent="0.35">
      <c r="A863" t="s">
        <v>322</v>
      </c>
      <c r="B863" s="128">
        <v>44062</v>
      </c>
      <c r="C863">
        <v>16135.89</v>
      </c>
    </row>
    <row r="864" spans="1:3" x14ac:dyDescent="0.35">
      <c r="A864" t="s">
        <v>322</v>
      </c>
      <c r="B864" s="128">
        <v>44061</v>
      </c>
      <c r="C864">
        <v>16101.86</v>
      </c>
    </row>
    <row r="865" spans="1:3" x14ac:dyDescent="0.35">
      <c r="A865" t="s">
        <v>322</v>
      </c>
      <c r="B865" s="128">
        <v>44060</v>
      </c>
      <c r="C865">
        <v>15906.29</v>
      </c>
    </row>
    <row r="866" spans="1:3" x14ac:dyDescent="0.35">
      <c r="A866" t="s">
        <v>322</v>
      </c>
      <c r="B866" s="128">
        <v>44057</v>
      </c>
      <c r="C866">
        <v>15809.17</v>
      </c>
    </row>
    <row r="867" spans="1:3" x14ac:dyDescent="0.35">
      <c r="A867" t="s">
        <v>322</v>
      </c>
      <c r="B867" s="128">
        <v>44056</v>
      </c>
      <c r="C867">
        <v>15981.73</v>
      </c>
    </row>
    <row r="868" spans="1:3" x14ac:dyDescent="0.35">
      <c r="A868" t="s">
        <v>322</v>
      </c>
      <c r="B868" s="128">
        <v>44055</v>
      </c>
      <c r="C868">
        <v>15986.03</v>
      </c>
    </row>
    <row r="869" spans="1:3" x14ac:dyDescent="0.35">
      <c r="A869" t="s">
        <v>322</v>
      </c>
      <c r="B869" s="128">
        <v>44054</v>
      </c>
      <c r="C869">
        <v>16005.99</v>
      </c>
    </row>
    <row r="870" spans="1:3" x14ac:dyDescent="0.35">
      <c r="A870" t="s">
        <v>322</v>
      </c>
      <c r="B870" s="128">
        <v>44053</v>
      </c>
      <c r="C870">
        <v>15931.97</v>
      </c>
    </row>
    <row r="871" spans="1:3" x14ac:dyDescent="0.35">
      <c r="A871" t="s">
        <v>322</v>
      </c>
      <c r="B871" s="128">
        <v>44050</v>
      </c>
      <c r="C871">
        <v>15852.65</v>
      </c>
    </row>
    <row r="872" spans="1:3" x14ac:dyDescent="0.35">
      <c r="A872" t="s">
        <v>322</v>
      </c>
      <c r="B872" s="128">
        <v>44049</v>
      </c>
      <c r="C872">
        <v>15833.02</v>
      </c>
    </row>
    <row r="873" spans="1:3" x14ac:dyDescent="0.35">
      <c r="A873" t="s">
        <v>322</v>
      </c>
      <c r="B873" s="128">
        <v>44048</v>
      </c>
      <c r="C873">
        <v>15689.69</v>
      </c>
    </row>
    <row r="874" spans="1:3" x14ac:dyDescent="0.35">
      <c r="A874" t="s">
        <v>322</v>
      </c>
      <c r="B874" s="128">
        <v>44047</v>
      </c>
      <c r="C874">
        <v>15676.74</v>
      </c>
    </row>
    <row r="875" spans="1:3" x14ac:dyDescent="0.35">
      <c r="A875" t="s">
        <v>322</v>
      </c>
      <c r="B875" s="128">
        <v>44046</v>
      </c>
      <c r="C875">
        <v>15388.98</v>
      </c>
    </row>
    <row r="876" spans="1:3" x14ac:dyDescent="0.35">
      <c r="A876" t="s">
        <v>322</v>
      </c>
      <c r="B876" s="128">
        <v>44043</v>
      </c>
      <c r="C876">
        <v>15645.34</v>
      </c>
    </row>
    <row r="877" spans="1:3" x14ac:dyDescent="0.35">
      <c r="A877" t="s">
        <v>322</v>
      </c>
      <c r="B877" s="128">
        <v>44042</v>
      </c>
      <c r="C877">
        <v>15685.92</v>
      </c>
    </row>
    <row r="878" spans="1:3" x14ac:dyDescent="0.35">
      <c r="A878" t="s">
        <v>322</v>
      </c>
      <c r="B878" s="128">
        <v>44041</v>
      </c>
      <c r="C878">
        <v>15824.19</v>
      </c>
    </row>
    <row r="879" spans="1:3" x14ac:dyDescent="0.35">
      <c r="A879" t="s">
        <v>322</v>
      </c>
      <c r="B879" s="128">
        <v>44040</v>
      </c>
      <c r="C879">
        <v>15961.7</v>
      </c>
    </row>
    <row r="880" spans="1:3" x14ac:dyDescent="0.35">
      <c r="A880" t="s">
        <v>322</v>
      </c>
      <c r="B880" s="128">
        <v>44039</v>
      </c>
      <c r="C880">
        <v>15723.39</v>
      </c>
    </row>
    <row r="881" spans="1:3" x14ac:dyDescent="0.35">
      <c r="A881" t="s">
        <v>322</v>
      </c>
      <c r="B881" s="128">
        <v>44036</v>
      </c>
      <c r="C881">
        <v>15811.4</v>
      </c>
    </row>
    <row r="882" spans="1:3" x14ac:dyDescent="0.35">
      <c r="A882" t="s">
        <v>322</v>
      </c>
      <c r="B882" s="128">
        <v>44035</v>
      </c>
      <c r="C882">
        <v>15841.48</v>
      </c>
    </row>
    <row r="883" spans="1:3" x14ac:dyDescent="0.35">
      <c r="A883" t="s">
        <v>322</v>
      </c>
      <c r="B883" s="128">
        <v>44034</v>
      </c>
      <c r="C883">
        <v>15722.51</v>
      </c>
    </row>
    <row r="884" spans="1:3" x14ac:dyDescent="0.35">
      <c r="A884" t="s">
        <v>322</v>
      </c>
      <c r="B884" s="128">
        <v>44033</v>
      </c>
      <c r="C884">
        <v>15764.41</v>
      </c>
    </row>
    <row r="885" spans="1:3" x14ac:dyDescent="0.35">
      <c r="A885" t="s">
        <v>322</v>
      </c>
      <c r="B885" s="128">
        <v>44032</v>
      </c>
      <c r="C885">
        <v>15566.56</v>
      </c>
    </row>
    <row r="886" spans="1:3" x14ac:dyDescent="0.35">
      <c r="A886" t="s">
        <v>322</v>
      </c>
      <c r="B886" s="128">
        <v>44029</v>
      </c>
      <c r="C886">
        <v>15396.44</v>
      </c>
    </row>
    <row r="887" spans="1:3" x14ac:dyDescent="0.35">
      <c r="A887" t="s">
        <v>322</v>
      </c>
      <c r="B887" s="128">
        <v>44028</v>
      </c>
      <c r="C887">
        <v>15167.99</v>
      </c>
    </row>
    <row r="888" spans="1:3" x14ac:dyDescent="0.35">
      <c r="A888" t="s">
        <v>322</v>
      </c>
      <c r="B888" s="128">
        <v>44027</v>
      </c>
      <c r="C888">
        <v>14993.52</v>
      </c>
    </row>
    <row r="889" spans="1:3" x14ac:dyDescent="0.35">
      <c r="A889" t="s">
        <v>322</v>
      </c>
      <c r="B889" s="128">
        <v>44026</v>
      </c>
      <c r="C889">
        <v>14978.23</v>
      </c>
    </row>
    <row r="890" spans="1:3" x14ac:dyDescent="0.35">
      <c r="A890" t="s">
        <v>322</v>
      </c>
      <c r="B890" s="128">
        <v>44025</v>
      </c>
      <c r="C890">
        <v>15254.09</v>
      </c>
    </row>
    <row r="891" spans="1:3" x14ac:dyDescent="0.35">
      <c r="A891" t="s">
        <v>322</v>
      </c>
      <c r="B891" s="128">
        <v>44022</v>
      </c>
      <c r="C891">
        <v>15204.13</v>
      </c>
    </row>
    <row r="892" spans="1:3" x14ac:dyDescent="0.35">
      <c r="A892" t="s">
        <v>322</v>
      </c>
      <c r="B892" s="128">
        <v>44021</v>
      </c>
      <c r="C892">
        <v>15268.19</v>
      </c>
    </row>
    <row r="893" spans="1:3" x14ac:dyDescent="0.35">
      <c r="A893" t="s">
        <v>322</v>
      </c>
      <c r="B893" s="128">
        <v>44020</v>
      </c>
      <c r="C893">
        <v>15104.09</v>
      </c>
    </row>
    <row r="894" spans="1:3" x14ac:dyDescent="0.35">
      <c r="A894" t="s">
        <v>322</v>
      </c>
      <c r="B894" s="128">
        <v>44019</v>
      </c>
      <c r="C894">
        <v>15236.58</v>
      </c>
    </row>
    <row r="895" spans="1:3" x14ac:dyDescent="0.35">
      <c r="A895" t="s">
        <v>322</v>
      </c>
      <c r="B895" s="128">
        <v>44018</v>
      </c>
      <c r="C895">
        <v>15185.78</v>
      </c>
    </row>
    <row r="896" spans="1:3" x14ac:dyDescent="0.35">
      <c r="A896" t="s">
        <v>322</v>
      </c>
      <c r="B896" s="128">
        <v>44015</v>
      </c>
      <c r="C896">
        <v>14964.59</v>
      </c>
    </row>
    <row r="897" spans="1:3" x14ac:dyDescent="0.35">
      <c r="A897" t="s">
        <v>322</v>
      </c>
      <c r="B897" s="128">
        <v>44014</v>
      </c>
      <c r="C897">
        <v>14886.06</v>
      </c>
    </row>
    <row r="898" spans="1:3" x14ac:dyDescent="0.35">
      <c r="A898" t="s">
        <v>322</v>
      </c>
      <c r="B898" s="128">
        <v>44013</v>
      </c>
      <c r="C898">
        <v>14707.64</v>
      </c>
    </row>
    <row r="899" spans="1:3" x14ac:dyDescent="0.35">
      <c r="A899" t="s">
        <v>322</v>
      </c>
      <c r="B899" s="128">
        <v>44012</v>
      </c>
      <c r="C899">
        <v>14527.18</v>
      </c>
    </row>
    <row r="900" spans="1:3" x14ac:dyDescent="0.35">
      <c r="A900" t="s">
        <v>322</v>
      </c>
      <c r="B900" s="128">
        <v>44011</v>
      </c>
      <c r="C900">
        <v>14541.76</v>
      </c>
    </row>
    <row r="901" spans="1:3" x14ac:dyDescent="0.35">
      <c r="A901" t="s">
        <v>322</v>
      </c>
      <c r="B901" s="128">
        <v>44008</v>
      </c>
      <c r="C901">
        <v>14641.26</v>
      </c>
    </row>
    <row r="902" spans="1:3" x14ac:dyDescent="0.35">
      <c r="A902" t="s">
        <v>322</v>
      </c>
      <c r="B902" s="128">
        <v>44007</v>
      </c>
      <c r="C902">
        <v>14508.61</v>
      </c>
    </row>
    <row r="903" spans="1:3" x14ac:dyDescent="0.35">
      <c r="A903" t="s">
        <v>322</v>
      </c>
      <c r="B903" s="128">
        <v>44006</v>
      </c>
      <c r="C903">
        <v>14531.72</v>
      </c>
    </row>
    <row r="904" spans="1:3" x14ac:dyDescent="0.35">
      <c r="A904" t="s">
        <v>322</v>
      </c>
      <c r="B904" s="128">
        <v>44005</v>
      </c>
      <c r="C904">
        <v>14765.36</v>
      </c>
    </row>
    <row r="905" spans="1:3" x14ac:dyDescent="0.35">
      <c r="A905" t="s">
        <v>322</v>
      </c>
      <c r="B905" s="128">
        <v>44004</v>
      </c>
      <c r="C905">
        <v>14540.07</v>
      </c>
    </row>
    <row r="906" spans="1:3" x14ac:dyDescent="0.35">
      <c r="A906" t="s">
        <v>322</v>
      </c>
      <c r="B906" s="128">
        <v>44001</v>
      </c>
      <c r="C906">
        <v>14445.87</v>
      </c>
    </row>
    <row r="907" spans="1:3" x14ac:dyDescent="0.35">
      <c r="A907" t="s">
        <v>322</v>
      </c>
      <c r="B907" s="128">
        <v>44000</v>
      </c>
      <c r="C907">
        <v>14227.14</v>
      </c>
    </row>
    <row r="908" spans="1:3" x14ac:dyDescent="0.35">
      <c r="A908" t="s">
        <v>322</v>
      </c>
      <c r="B908" s="128">
        <v>43999</v>
      </c>
      <c r="C908">
        <v>13930.35</v>
      </c>
    </row>
    <row r="909" spans="1:3" x14ac:dyDescent="0.35">
      <c r="A909" t="s">
        <v>322</v>
      </c>
      <c r="B909" s="128">
        <v>43998</v>
      </c>
      <c r="C909">
        <v>13976.63</v>
      </c>
    </row>
    <row r="910" spans="1:3" x14ac:dyDescent="0.35">
      <c r="A910" t="s">
        <v>322</v>
      </c>
      <c r="B910" s="128">
        <v>43997</v>
      </c>
      <c r="C910">
        <v>13835.27</v>
      </c>
    </row>
    <row r="911" spans="1:3" x14ac:dyDescent="0.35">
      <c r="A911" t="s">
        <v>322</v>
      </c>
      <c r="B911" s="128">
        <v>43994</v>
      </c>
      <c r="C911">
        <v>14059.69</v>
      </c>
    </row>
    <row r="912" spans="1:3" x14ac:dyDescent="0.35">
      <c r="A912" t="s">
        <v>322</v>
      </c>
      <c r="B912" s="128">
        <v>43993</v>
      </c>
      <c r="C912">
        <v>13959.73</v>
      </c>
    </row>
    <row r="913" spans="1:3" x14ac:dyDescent="0.35">
      <c r="A913" t="s">
        <v>322</v>
      </c>
      <c r="B913" s="128">
        <v>43992</v>
      </c>
      <c r="C913">
        <v>14260.91</v>
      </c>
    </row>
    <row r="914" spans="1:3" x14ac:dyDescent="0.35">
      <c r="A914" t="s">
        <v>322</v>
      </c>
      <c r="B914" s="128">
        <v>43991</v>
      </c>
      <c r="C914">
        <v>14162.9</v>
      </c>
    </row>
    <row r="915" spans="1:3" x14ac:dyDescent="0.35">
      <c r="A915" t="s">
        <v>322</v>
      </c>
      <c r="B915" s="128">
        <v>43990</v>
      </c>
      <c r="C915">
        <v>14333.2</v>
      </c>
    </row>
    <row r="916" spans="1:3" x14ac:dyDescent="0.35">
      <c r="A916" t="s">
        <v>322</v>
      </c>
      <c r="B916" s="128">
        <v>43987</v>
      </c>
      <c r="C916">
        <v>14297.55</v>
      </c>
    </row>
    <row r="917" spans="1:3" x14ac:dyDescent="0.35">
      <c r="A917" t="s">
        <v>322</v>
      </c>
      <c r="B917" s="128">
        <v>43986</v>
      </c>
      <c r="C917">
        <v>14138.19</v>
      </c>
    </row>
    <row r="918" spans="1:3" x14ac:dyDescent="0.35">
      <c r="A918" t="s">
        <v>322</v>
      </c>
      <c r="B918" s="128">
        <v>43985</v>
      </c>
      <c r="C918">
        <v>14183.95</v>
      </c>
    </row>
    <row r="919" spans="1:3" x14ac:dyDescent="0.35">
      <c r="A919" t="s">
        <v>322</v>
      </c>
      <c r="B919" s="128">
        <v>43984</v>
      </c>
      <c r="C919">
        <v>14065.56</v>
      </c>
    </row>
    <row r="920" spans="1:3" x14ac:dyDescent="0.35">
      <c r="A920" t="s">
        <v>322</v>
      </c>
      <c r="B920" s="128">
        <v>43983</v>
      </c>
      <c r="C920">
        <v>13850</v>
      </c>
    </row>
    <row r="921" spans="1:3" x14ac:dyDescent="0.35">
      <c r="A921" t="s">
        <v>322</v>
      </c>
      <c r="B921" s="128">
        <v>43980</v>
      </c>
      <c r="C921">
        <v>13503.45</v>
      </c>
    </row>
    <row r="922" spans="1:3" x14ac:dyDescent="0.35">
      <c r="A922" t="s">
        <v>322</v>
      </c>
      <c r="B922" s="128">
        <v>43979</v>
      </c>
      <c r="C922">
        <v>13364.65</v>
      </c>
    </row>
    <row r="923" spans="1:3" x14ac:dyDescent="0.35">
      <c r="A923" t="s">
        <v>322</v>
      </c>
      <c r="B923" s="128">
        <v>43978</v>
      </c>
      <c r="C923">
        <v>13117.99</v>
      </c>
    </row>
    <row r="924" spans="1:3" x14ac:dyDescent="0.35">
      <c r="A924" t="s">
        <v>322</v>
      </c>
      <c r="B924" s="128">
        <v>43977</v>
      </c>
      <c r="C924">
        <v>12715.39</v>
      </c>
    </row>
    <row r="925" spans="1:3" x14ac:dyDescent="0.35">
      <c r="A925" t="s">
        <v>322</v>
      </c>
      <c r="B925" s="128">
        <v>43973</v>
      </c>
      <c r="C925">
        <v>12729.74</v>
      </c>
    </row>
    <row r="926" spans="1:3" x14ac:dyDescent="0.35">
      <c r="A926" t="s">
        <v>322</v>
      </c>
      <c r="B926" s="128">
        <v>43972</v>
      </c>
      <c r="C926">
        <v>12824.12</v>
      </c>
    </row>
    <row r="927" spans="1:3" x14ac:dyDescent="0.35">
      <c r="A927" t="s">
        <v>322</v>
      </c>
      <c r="B927" s="128">
        <v>43971</v>
      </c>
      <c r="C927">
        <v>12768.2</v>
      </c>
    </row>
    <row r="928" spans="1:3" x14ac:dyDescent="0.35">
      <c r="A928" t="s">
        <v>322</v>
      </c>
      <c r="B928" s="128">
        <v>43970</v>
      </c>
      <c r="C928">
        <v>12504.22</v>
      </c>
    </row>
    <row r="929" spans="1:3" x14ac:dyDescent="0.35">
      <c r="A929" t="s">
        <v>322</v>
      </c>
      <c r="B929" s="128">
        <v>43969</v>
      </c>
      <c r="C929">
        <v>12425.57</v>
      </c>
    </row>
    <row r="930" spans="1:3" x14ac:dyDescent="0.35">
      <c r="A930" t="s">
        <v>322</v>
      </c>
      <c r="B930" s="128">
        <v>43966</v>
      </c>
      <c r="C930">
        <v>12867.16</v>
      </c>
    </row>
    <row r="931" spans="1:3" x14ac:dyDescent="0.35">
      <c r="A931" t="s">
        <v>322</v>
      </c>
      <c r="B931" s="128">
        <v>43965</v>
      </c>
      <c r="C931">
        <v>12875.51</v>
      </c>
    </row>
    <row r="932" spans="1:3" x14ac:dyDescent="0.35">
      <c r="A932" t="s">
        <v>322</v>
      </c>
      <c r="B932" s="128">
        <v>43964</v>
      </c>
      <c r="C932">
        <v>13214.58</v>
      </c>
    </row>
    <row r="933" spans="1:3" x14ac:dyDescent="0.35">
      <c r="A933" t="s">
        <v>322</v>
      </c>
      <c r="B933" s="128">
        <v>43963</v>
      </c>
      <c r="C933">
        <v>12951.29</v>
      </c>
    </row>
    <row r="934" spans="1:3" x14ac:dyDescent="0.35">
      <c r="A934" t="s">
        <v>322</v>
      </c>
      <c r="B934" s="128">
        <v>43962</v>
      </c>
      <c r="C934">
        <v>13011.35</v>
      </c>
    </row>
    <row r="935" spans="1:3" x14ac:dyDescent="0.35">
      <c r="A935" t="s">
        <v>322</v>
      </c>
      <c r="B935" s="128">
        <v>43959</v>
      </c>
      <c r="C935">
        <v>13028.62</v>
      </c>
    </row>
    <row r="936" spans="1:3" x14ac:dyDescent="0.35">
      <c r="A936" t="s">
        <v>322</v>
      </c>
      <c r="B936" s="128">
        <v>43958</v>
      </c>
      <c r="C936">
        <v>12954.81</v>
      </c>
    </row>
    <row r="937" spans="1:3" x14ac:dyDescent="0.35">
      <c r="A937" t="s">
        <v>322</v>
      </c>
      <c r="B937" s="128">
        <v>43957</v>
      </c>
      <c r="C937">
        <v>13055.99</v>
      </c>
    </row>
    <row r="938" spans="1:3" x14ac:dyDescent="0.35">
      <c r="A938" t="s">
        <v>322</v>
      </c>
      <c r="B938" s="128">
        <v>43956</v>
      </c>
      <c r="C938">
        <v>12963.99</v>
      </c>
    </row>
    <row r="939" spans="1:3" x14ac:dyDescent="0.35">
      <c r="A939" t="s">
        <v>322</v>
      </c>
      <c r="B939" s="128">
        <v>43955</v>
      </c>
      <c r="C939">
        <v>13086.63</v>
      </c>
    </row>
    <row r="940" spans="1:3" x14ac:dyDescent="0.35">
      <c r="A940" t="s">
        <v>322</v>
      </c>
      <c r="B940" s="128">
        <v>43951</v>
      </c>
      <c r="C940">
        <v>13884.18</v>
      </c>
    </row>
    <row r="941" spans="1:3" x14ac:dyDescent="0.35">
      <c r="A941" t="s">
        <v>322</v>
      </c>
      <c r="B941" s="128">
        <v>43950</v>
      </c>
      <c r="C941">
        <v>13452.51</v>
      </c>
    </row>
    <row r="942" spans="1:3" x14ac:dyDescent="0.35">
      <c r="A942" t="s">
        <v>322</v>
      </c>
      <c r="B942" s="128">
        <v>43949</v>
      </c>
      <c r="C942">
        <v>13208.29</v>
      </c>
    </row>
    <row r="943" spans="1:3" x14ac:dyDescent="0.35">
      <c r="A943" t="s">
        <v>322</v>
      </c>
      <c r="B943" s="128">
        <v>43948</v>
      </c>
      <c r="C943">
        <v>13069.49</v>
      </c>
    </row>
    <row r="944" spans="1:3" x14ac:dyDescent="0.35">
      <c r="A944" t="s">
        <v>322</v>
      </c>
      <c r="B944" s="128">
        <v>43945</v>
      </c>
      <c r="C944">
        <v>12889.39</v>
      </c>
    </row>
    <row r="945" spans="1:3" x14ac:dyDescent="0.35">
      <c r="A945" t="s">
        <v>322</v>
      </c>
      <c r="B945" s="128">
        <v>43944</v>
      </c>
      <c r="C945">
        <v>13113.97</v>
      </c>
    </row>
    <row r="946" spans="1:3" x14ac:dyDescent="0.35">
      <c r="A946" t="s">
        <v>322</v>
      </c>
      <c r="B946" s="128">
        <v>43943</v>
      </c>
      <c r="C946">
        <v>12935.73</v>
      </c>
    </row>
    <row r="947" spans="1:3" x14ac:dyDescent="0.35">
      <c r="A947" t="s">
        <v>322</v>
      </c>
      <c r="B947" s="128">
        <v>43942</v>
      </c>
      <c r="C947">
        <v>12645.91</v>
      </c>
    </row>
    <row r="948" spans="1:3" x14ac:dyDescent="0.35">
      <c r="A948" t="s">
        <v>322</v>
      </c>
      <c r="B948" s="128">
        <v>43941</v>
      </c>
      <c r="C948">
        <v>13040.65</v>
      </c>
    </row>
    <row r="949" spans="1:3" x14ac:dyDescent="0.35">
      <c r="A949" t="s">
        <v>322</v>
      </c>
      <c r="B949" s="128">
        <v>43938</v>
      </c>
      <c r="C949">
        <v>13047.57</v>
      </c>
    </row>
    <row r="950" spans="1:3" x14ac:dyDescent="0.35">
      <c r="A950" t="s">
        <v>322</v>
      </c>
      <c r="B950" s="128">
        <v>43937</v>
      </c>
      <c r="C950">
        <v>12661.83</v>
      </c>
    </row>
    <row r="951" spans="1:3" x14ac:dyDescent="0.35">
      <c r="A951" t="s">
        <v>322</v>
      </c>
      <c r="B951" s="128">
        <v>43936</v>
      </c>
      <c r="C951">
        <v>12566.85</v>
      </c>
    </row>
    <row r="952" spans="1:3" x14ac:dyDescent="0.35">
      <c r="A952" t="s">
        <v>322</v>
      </c>
      <c r="B952" s="128">
        <v>43934</v>
      </c>
      <c r="C952">
        <v>12663.31</v>
      </c>
    </row>
    <row r="953" spans="1:3" x14ac:dyDescent="0.35">
      <c r="A953" t="s">
        <v>322</v>
      </c>
      <c r="B953" s="128">
        <v>43930</v>
      </c>
      <c r="C953">
        <v>12829.57</v>
      </c>
    </row>
    <row r="954" spans="1:3" x14ac:dyDescent="0.35">
      <c r="A954" t="s">
        <v>322</v>
      </c>
      <c r="B954" s="128">
        <v>43929</v>
      </c>
      <c r="C954">
        <v>12318.25</v>
      </c>
    </row>
    <row r="955" spans="1:3" x14ac:dyDescent="0.35">
      <c r="A955" t="s">
        <v>322</v>
      </c>
      <c r="B955" s="128">
        <v>43928</v>
      </c>
      <c r="C955">
        <v>12379.42</v>
      </c>
    </row>
    <row r="956" spans="1:3" x14ac:dyDescent="0.35">
      <c r="A956" t="s">
        <v>322</v>
      </c>
      <c r="B956" s="128">
        <v>43924</v>
      </c>
      <c r="C956">
        <v>11382.02</v>
      </c>
    </row>
    <row r="957" spans="1:3" x14ac:dyDescent="0.35">
      <c r="A957" t="s">
        <v>322</v>
      </c>
      <c r="B957" s="128">
        <v>43922</v>
      </c>
      <c r="C957">
        <v>11621.35</v>
      </c>
    </row>
    <row r="958" spans="1:3" x14ac:dyDescent="0.35">
      <c r="A958" t="s">
        <v>322</v>
      </c>
      <c r="B958" s="128">
        <v>43921</v>
      </c>
      <c r="C958">
        <v>12105.66</v>
      </c>
    </row>
    <row r="959" spans="1:3" x14ac:dyDescent="0.35">
      <c r="A959" t="s">
        <v>322</v>
      </c>
      <c r="B959" s="128">
        <v>43920</v>
      </c>
      <c r="C959">
        <v>11659.76</v>
      </c>
    </row>
    <row r="960" spans="1:3" x14ac:dyDescent="0.35">
      <c r="A960" t="s">
        <v>322</v>
      </c>
      <c r="B960" s="128">
        <v>43917</v>
      </c>
      <c r="C960">
        <v>12193.62</v>
      </c>
    </row>
    <row r="961" spans="1:3" x14ac:dyDescent="0.35">
      <c r="A961" t="s">
        <v>322</v>
      </c>
      <c r="B961" s="128">
        <v>43916</v>
      </c>
      <c r="C961">
        <v>12167.15</v>
      </c>
    </row>
    <row r="962" spans="1:3" x14ac:dyDescent="0.35">
      <c r="A962" t="s">
        <v>322</v>
      </c>
      <c r="B962" s="128">
        <v>43915</v>
      </c>
      <c r="C962">
        <v>11710.71</v>
      </c>
    </row>
    <row r="963" spans="1:3" x14ac:dyDescent="0.35">
      <c r="A963" t="s">
        <v>322</v>
      </c>
      <c r="B963" s="128">
        <v>43914</v>
      </c>
      <c r="C963">
        <v>10983.15</v>
      </c>
    </row>
    <row r="964" spans="1:3" x14ac:dyDescent="0.35">
      <c r="A964" t="s">
        <v>322</v>
      </c>
      <c r="B964" s="128">
        <v>43913</v>
      </c>
      <c r="C964">
        <v>10710.41</v>
      </c>
    </row>
    <row r="965" spans="1:3" x14ac:dyDescent="0.35">
      <c r="A965" t="s">
        <v>322</v>
      </c>
      <c r="B965" s="128">
        <v>43910</v>
      </c>
      <c r="C965">
        <v>12298.74</v>
      </c>
    </row>
    <row r="966" spans="1:3" x14ac:dyDescent="0.35">
      <c r="A966" t="s">
        <v>322</v>
      </c>
      <c r="B966" s="128">
        <v>43909</v>
      </c>
      <c r="C966">
        <v>11620.92</v>
      </c>
    </row>
    <row r="967" spans="1:3" x14ac:dyDescent="0.35">
      <c r="A967" t="s">
        <v>322</v>
      </c>
      <c r="B967" s="128">
        <v>43908</v>
      </c>
      <c r="C967">
        <v>11904.02</v>
      </c>
    </row>
    <row r="968" spans="1:3" x14ac:dyDescent="0.35">
      <c r="A968" t="s">
        <v>322</v>
      </c>
      <c r="B968" s="128">
        <v>43907</v>
      </c>
      <c r="C968">
        <v>12604.41</v>
      </c>
    </row>
    <row r="969" spans="1:3" x14ac:dyDescent="0.35">
      <c r="A969" t="s">
        <v>322</v>
      </c>
      <c r="B969" s="128">
        <v>43906</v>
      </c>
      <c r="C969">
        <v>12928.18</v>
      </c>
    </row>
    <row r="970" spans="1:3" x14ac:dyDescent="0.35">
      <c r="A970" t="s">
        <v>322</v>
      </c>
      <c r="B970" s="128">
        <v>43903</v>
      </c>
      <c r="C970">
        <v>13987.31</v>
      </c>
    </row>
    <row r="971" spans="1:3" x14ac:dyDescent="0.35">
      <c r="A971" t="s">
        <v>322</v>
      </c>
      <c r="B971" s="128">
        <v>43902</v>
      </c>
      <c r="C971">
        <v>13474.38</v>
      </c>
    </row>
    <row r="972" spans="1:3" x14ac:dyDescent="0.35">
      <c r="A972" t="s">
        <v>322</v>
      </c>
      <c r="B972" s="128">
        <v>43901</v>
      </c>
      <c r="C972">
        <v>14694.31</v>
      </c>
    </row>
    <row r="973" spans="1:3" x14ac:dyDescent="0.35">
      <c r="A973" t="s">
        <v>322</v>
      </c>
      <c r="B973" s="128">
        <v>43899</v>
      </c>
      <c r="C973">
        <v>14684.56</v>
      </c>
    </row>
    <row r="974" spans="1:3" x14ac:dyDescent="0.35">
      <c r="A974" t="s">
        <v>322</v>
      </c>
      <c r="B974" s="128">
        <v>43896</v>
      </c>
      <c r="C974">
        <v>15440.48</v>
      </c>
    </row>
    <row r="975" spans="1:3" x14ac:dyDescent="0.35">
      <c r="A975" t="s">
        <v>322</v>
      </c>
      <c r="B975" s="128">
        <v>43895</v>
      </c>
      <c r="C975">
        <v>15833.21</v>
      </c>
    </row>
    <row r="976" spans="1:3" x14ac:dyDescent="0.35">
      <c r="A976" t="s">
        <v>322</v>
      </c>
      <c r="B976" s="128">
        <v>43894</v>
      </c>
      <c r="C976">
        <v>15805.53</v>
      </c>
    </row>
    <row r="977" spans="1:3" x14ac:dyDescent="0.35">
      <c r="A977" t="s">
        <v>322</v>
      </c>
      <c r="B977" s="128">
        <v>43893</v>
      </c>
      <c r="C977">
        <v>15878.98</v>
      </c>
    </row>
    <row r="978" spans="1:3" x14ac:dyDescent="0.35">
      <c r="A978" t="s">
        <v>322</v>
      </c>
      <c r="B978" s="128">
        <v>43892</v>
      </c>
      <c r="C978">
        <v>15632.14</v>
      </c>
    </row>
    <row r="979" spans="1:3" x14ac:dyDescent="0.35">
      <c r="A979" t="s">
        <v>322</v>
      </c>
      <c r="B979" s="128">
        <v>43889</v>
      </c>
      <c r="C979">
        <v>15726.92</v>
      </c>
    </row>
    <row r="980" spans="1:3" x14ac:dyDescent="0.35">
      <c r="A980" t="s">
        <v>322</v>
      </c>
      <c r="B980" s="128">
        <v>43888</v>
      </c>
      <c r="C980">
        <v>16332.81</v>
      </c>
    </row>
    <row r="981" spans="1:3" x14ac:dyDescent="0.35">
      <c r="A981" t="s">
        <v>322</v>
      </c>
      <c r="B981" s="128">
        <v>43887</v>
      </c>
      <c r="C981">
        <v>16396.23</v>
      </c>
    </row>
    <row r="982" spans="1:3" x14ac:dyDescent="0.35">
      <c r="A982" t="s">
        <v>322</v>
      </c>
      <c r="B982" s="128">
        <v>43886</v>
      </c>
      <c r="C982">
        <v>16563.91</v>
      </c>
    </row>
    <row r="983" spans="1:3" x14ac:dyDescent="0.35">
      <c r="A983" t="s">
        <v>322</v>
      </c>
      <c r="B983" s="128">
        <v>43885</v>
      </c>
      <c r="C983">
        <v>16608.12</v>
      </c>
    </row>
    <row r="984" spans="1:3" x14ac:dyDescent="0.35">
      <c r="A984" t="s">
        <v>322</v>
      </c>
      <c r="B984" s="128">
        <v>43881</v>
      </c>
      <c r="C984">
        <v>16961.16</v>
      </c>
    </row>
    <row r="985" spans="1:3" x14ac:dyDescent="0.35">
      <c r="A985" t="s">
        <v>322</v>
      </c>
      <c r="B985" s="128">
        <v>43880</v>
      </c>
      <c r="C985">
        <v>17024.41</v>
      </c>
    </row>
    <row r="986" spans="1:3" x14ac:dyDescent="0.35">
      <c r="A986" t="s">
        <v>322</v>
      </c>
      <c r="B986" s="128">
        <v>43879</v>
      </c>
      <c r="C986">
        <v>16837.080000000002</v>
      </c>
    </row>
    <row r="987" spans="1:3" x14ac:dyDescent="0.35">
      <c r="A987" t="s">
        <v>322</v>
      </c>
      <c r="B987" s="128">
        <v>43878</v>
      </c>
      <c r="C987">
        <v>16911.919999999998</v>
      </c>
    </row>
    <row r="988" spans="1:3" x14ac:dyDescent="0.35">
      <c r="A988" t="s">
        <v>322</v>
      </c>
      <c r="B988" s="128">
        <v>43875</v>
      </c>
      <c r="C988">
        <v>17002.89</v>
      </c>
    </row>
    <row r="989" spans="1:3" x14ac:dyDescent="0.35">
      <c r="A989" t="s">
        <v>322</v>
      </c>
      <c r="B989" s="128">
        <v>43874</v>
      </c>
      <c r="C989">
        <v>17088.84</v>
      </c>
    </row>
    <row r="990" spans="1:3" x14ac:dyDescent="0.35">
      <c r="A990" t="s">
        <v>322</v>
      </c>
      <c r="B990" s="128">
        <v>43873</v>
      </c>
      <c r="C990">
        <v>17126.07</v>
      </c>
    </row>
    <row r="991" spans="1:3" x14ac:dyDescent="0.35">
      <c r="A991" t="s">
        <v>322</v>
      </c>
      <c r="B991" s="128">
        <v>43872</v>
      </c>
      <c r="C991">
        <v>16995.099999999999</v>
      </c>
    </row>
    <row r="992" spans="1:3" x14ac:dyDescent="0.35">
      <c r="A992" t="s">
        <v>322</v>
      </c>
      <c r="B992" s="128">
        <v>43871</v>
      </c>
      <c r="C992">
        <v>16887.86</v>
      </c>
    </row>
    <row r="993" spans="1:3" x14ac:dyDescent="0.35">
      <c r="A993" t="s">
        <v>322</v>
      </c>
      <c r="B993" s="128">
        <v>43868</v>
      </c>
      <c r="C993">
        <v>16981.75</v>
      </c>
    </row>
    <row r="994" spans="1:3" x14ac:dyDescent="0.35">
      <c r="A994" t="s">
        <v>322</v>
      </c>
      <c r="B994" s="128">
        <v>43867</v>
      </c>
      <c r="C994">
        <v>17037.28</v>
      </c>
    </row>
    <row r="995" spans="1:3" x14ac:dyDescent="0.35">
      <c r="A995" t="s">
        <v>322</v>
      </c>
      <c r="B995" s="128">
        <v>43866</v>
      </c>
      <c r="C995">
        <v>16968.830000000002</v>
      </c>
    </row>
    <row r="996" spans="1:3" x14ac:dyDescent="0.35">
      <c r="A996" t="s">
        <v>322</v>
      </c>
      <c r="B996" s="128">
        <v>43865</v>
      </c>
      <c r="C996">
        <v>16815.12</v>
      </c>
    </row>
    <row r="997" spans="1:3" x14ac:dyDescent="0.35">
      <c r="A997" t="s">
        <v>322</v>
      </c>
      <c r="B997" s="128">
        <v>43864</v>
      </c>
      <c r="C997">
        <v>16433.650000000001</v>
      </c>
    </row>
    <row r="998" spans="1:3" x14ac:dyDescent="0.35">
      <c r="A998" t="s">
        <v>322</v>
      </c>
      <c r="B998" s="128">
        <v>43862</v>
      </c>
      <c r="C998">
        <v>16369</v>
      </c>
    </row>
    <row r="999" spans="1:3" x14ac:dyDescent="0.35">
      <c r="A999" t="s">
        <v>322</v>
      </c>
      <c r="B999" s="128">
        <v>43861</v>
      </c>
      <c r="C999">
        <v>16790.45</v>
      </c>
    </row>
    <row r="1000" spans="1:3" x14ac:dyDescent="0.35">
      <c r="A1000" t="s">
        <v>322</v>
      </c>
      <c r="B1000" s="128">
        <v>43860</v>
      </c>
      <c r="C1000">
        <v>16893.91</v>
      </c>
    </row>
    <row r="1001" spans="1:3" x14ac:dyDescent="0.35">
      <c r="A1001" t="s">
        <v>322</v>
      </c>
      <c r="B1001" s="128">
        <v>43859</v>
      </c>
      <c r="C1001">
        <v>17025.46</v>
      </c>
    </row>
    <row r="1002" spans="1:3" x14ac:dyDescent="0.35">
      <c r="A1002" t="s">
        <v>322</v>
      </c>
      <c r="B1002" s="128">
        <v>43858</v>
      </c>
      <c r="C1002">
        <v>16922.009999999998</v>
      </c>
    </row>
    <row r="1003" spans="1:3" x14ac:dyDescent="0.35">
      <c r="A1003" t="s">
        <v>322</v>
      </c>
      <c r="B1003" s="128">
        <v>43857</v>
      </c>
      <c r="C1003">
        <v>17010.7</v>
      </c>
    </row>
    <row r="1004" spans="1:3" x14ac:dyDescent="0.35">
      <c r="A1004" t="s">
        <v>322</v>
      </c>
      <c r="B1004" s="128">
        <v>43854</v>
      </c>
      <c r="C1004">
        <v>17192.150000000001</v>
      </c>
    </row>
    <row r="1005" spans="1:3" x14ac:dyDescent="0.35">
      <c r="A1005" t="s">
        <v>322</v>
      </c>
      <c r="B1005" s="128">
        <v>43853</v>
      </c>
      <c r="C1005">
        <v>17095.61</v>
      </c>
    </row>
    <row r="1006" spans="1:3" x14ac:dyDescent="0.35">
      <c r="A1006" t="s">
        <v>322</v>
      </c>
      <c r="B1006" s="128">
        <v>43852</v>
      </c>
      <c r="C1006">
        <v>16990.68</v>
      </c>
    </row>
    <row r="1007" spans="1:3" x14ac:dyDescent="0.35">
      <c r="A1007" t="s">
        <v>322</v>
      </c>
      <c r="B1007" s="128">
        <v>43851</v>
      </c>
      <c r="C1007">
        <v>17079.07</v>
      </c>
    </row>
    <row r="1008" spans="1:3" x14ac:dyDescent="0.35">
      <c r="A1008" t="s">
        <v>322</v>
      </c>
      <c r="B1008" s="128">
        <v>43850</v>
      </c>
      <c r="C1008">
        <v>17155.830000000002</v>
      </c>
    </row>
    <row r="1009" spans="1:3" x14ac:dyDescent="0.35">
      <c r="A1009" t="s">
        <v>322</v>
      </c>
      <c r="B1009" s="128">
        <v>43847</v>
      </c>
      <c r="C1009">
        <v>17335.2</v>
      </c>
    </row>
    <row r="1010" spans="1:3" x14ac:dyDescent="0.35">
      <c r="A1010" t="s">
        <v>322</v>
      </c>
      <c r="B1010" s="128">
        <v>43846</v>
      </c>
      <c r="C1010">
        <v>17339.57</v>
      </c>
    </row>
    <row r="1011" spans="1:3" x14ac:dyDescent="0.35">
      <c r="A1011" t="s">
        <v>322</v>
      </c>
      <c r="B1011" s="128">
        <v>43845</v>
      </c>
      <c r="C1011">
        <v>17322.5</v>
      </c>
    </row>
    <row r="1012" spans="1:3" x14ac:dyDescent="0.35">
      <c r="A1012" t="s">
        <v>322</v>
      </c>
      <c r="B1012" s="128">
        <v>43844</v>
      </c>
      <c r="C1012">
        <v>17349.12</v>
      </c>
    </row>
    <row r="1013" spans="1:3" x14ac:dyDescent="0.35">
      <c r="A1013" t="s">
        <v>322</v>
      </c>
      <c r="B1013" s="128">
        <v>43843</v>
      </c>
      <c r="C1013">
        <v>17303.2</v>
      </c>
    </row>
    <row r="1014" spans="1:3" x14ac:dyDescent="0.35">
      <c r="A1014" t="s">
        <v>322</v>
      </c>
      <c r="B1014" s="128">
        <v>43840</v>
      </c>
      <c r="C1014">
        <v>17201.080000000002</v>
      </c>
    </row>
    <row r="1015" spans="1:3" x14ac:dyDescent="0.35">
      <c r="A1015" t="s">
        <v>322</v>
      </c>
      <c r="B1015" s="128">
        <v>43839</v>
      </c>
      <c r="C1015">
        <v>17143.650000000001</v>
      </c>
    </row>
    <row r="1016" spans="1:3" x14ac:dyDescent="0.35">
      <c r="A1016" t="s">
        <v>322</v>
      </c>
      <c r="B1016" s="128">
        <v>43838</v>
      </c>
      <c r="C1016">
        <v>16876.240000000002</v>
      </c>
    </row>
    <row r="1017" spans="1:3" x14ac:dyDescent="0.35">
      <c r="A1017" t="s">
        <v>322</v>
      </c>
      <c r="B1017" s="128">
        <v>43837</v>
      </c>
      <c r="C1017">
        <v>16915.03</v>
      </c>
    </row>
    <row r="1018" spans="1:3" x14ac:dyDescent="0.35">
      <c r="A1018" t="s">
        <v>322</v>
      </c>
      <c r="B1018" s="128">
        <v>43836</v>
      </c>
      <c r="C1018">
        <v>16830.93</v>
      </c>
    </row>
    <row r="1019" spans="1:3" x14ac:dyDescent="0.35">
      <c r="A1019" t="s">
        <v>322</v>
      </c>
      <c r="B1019" s="128">
        <v>43833</v>
      </c>
      <c r="C1019">
        <v>17158.75</v>
      </c>
    </row>
    <row r="1020" spans="1:3" x14ac:dyDescent="0.35">
      <c r="A1020" t="s">
        <v>322</v>
      </c>
      <c r="B1020" s="128">
        <v>43832</v>
      </c>
      <c r="C1020">
        <v>17236.7</v>
      </c>
    </row>
    <row r="1021" spans="1:3" x14ac:dyDescent="0.35">
      <c r="A1021" t="s">
        <v>322</v>
      </c>
      <c r="B1021" s="128">
        <v>43831</v>
      </c>
      <c r="C1021">
        <v>17096.830000000002</v>
      </c>
    </row>
    <row r="1022" spans="1:3" x14ac:dyDescent="0.35">
      <c r="A1022" t="s">
        <v>322</v>
      </c>
      <c r="B1022" s="128">
        <v>43830</v>
      </c>
      <c r="C1022">
        <v>17077.060000000001</v>
      </c>
    </row>
    <row r="1023" spans="1:3" x14ac:dyDescent="0.35">
      <c r="A1023" t="s">
        <v>322</v>
      </c>
      <c r="B1023" s="128">
        <v>43829</v>
      </c>
      <c r="C1023">
        <v>17199.73</v>
      </c>
    </row>
    <row r="1024" spans="1:3" x14ac:dyDescent="0.35">
      <c r="A1024" t="s">
        <v>322</v>
      </c>
      <c r="B1024" s="128">
        <v>43826</v>
      </c>
      <c r="C1024">
        <v>17185.66</v>
      </c>
    </row>
    <row r="1025" spans="1:3" x14ac:dyDescent="0.35">
      <c r="A1025" t="s">
        <v>322</v>
      </c>
      <c r="B1025" s="128">
        <v>43825</v>
      </c>
      <c r="C1025">
        <v>17018.259999999998</v>
      </c>
    </row>
    <row r="1026" spans="1:3" x14ac:dyDescent="0.35">
      <c r="A1026" t="s">
        <v>322</v>
      </c>
      <c r="B1026" s="128">
        <v>43823</v>
      </c>
      <c r="C1026">
        <v>17141.8</v>
      </c>
    </row>
    <row r="1027" spans="1:3" x14ac:dyDescent="0.35">
      <c r="A1027" t="s">
        <v>322</v>
      </c>
      <c r="B1027" s="128">
        <v>43822</v>
      </c>
      <c r="C1027">
        <v>17209.400000000001</v>
      </c>
    </row>
    <row r="1028" spans="1:3" x14ac:dyDescent="0.35">
      <c r="A1028" t="s">
        <v>322</v>
      </c>
      <c r="B1028" s="128">
        <v>43819</v>
      </c>
      <c r="C1028">
        <v>17222.14</v>
      </c>
    </row>
    <row r="1029" spans="1:3" x14ac:dyDescent="0.35">
      <c r="A1029" t="s">
        <v>322</v>
      </c>
      <c r="B1029" s="128">
        <v>43818</v>
      </c>
      <c r="C1029">
        <v>17205.12</v>
      </c>
    </row>
    <row r="1030" spans="1:3" x14ac:dyDescent="0.35">
      <c r="A1030" t="s">
        <v>322</v>
      </c>
      <c r="B1030" s="128">
        <v>43817</v>
      </c>
      <c r="C1030">
        <v>17150.93</v>
      </c>
    </row>
    <row r="1031" spans="1:3" x14ac:dyDescent="0.35">
      <c r="A1031" t="s">
        <v>322</v>
      </c>
      <c r="B1031" s="128">
        <v>43816</v>
      </c>
      <c r="C1031">
        <v>17071.490000000002</v>
      </c>
    </row>
    <row r="1032" spans="1:3" x14ac:dyDescent="0.35">
      <c r="A1032" t="s">
        <v>322</v>
      </c>
      <c r="B1032" s="128">
        <v>43815</v>
      </c>
      <c r="C1032">
        <v>16915.650000000001</v>
      </c>
    </row>
    <row r="1033" spans="1:3" x14ac:dyDescent="0.35">
      <c r="A1033" t="s">
        <v>322</v>
      </c>
      <c r="B1033" s="128">
        <v>43812</v>
      </c>
      <c r="C1033">
        <v>16961.560000000001</v>
      </c>
    </row>
    <row r="1034" spans="1:3" x14ac:dyDescent="0.35">
      <c r="A1034" t="s">
        <v>322</v>
      </c>
      <c r="B1034" s="128">
        <v>43811</v>
      </c>
      <c r="C1034">
        <v>16800.36</v>
      </c>
    </row>
    <row r="1035" spans="1:3" x14ac:dyDescent="0.35">
      <c r="A1035" t="s">
        <v>322</v>
      </c>
      <c r="B1035" s="128">
        <v>43810</v>
      </c>
      <c r="C1035">
        <v>16713.79</v>
      </c>
    </row>
    <row r="1036" spans="1:3" x14ac:dyDescent="0.35">
      <c r="A1036" t="s">
        <v>322</v>
      </c>
      <c r="B1036" s="128">
        <v>43809</v>
      </c>
      <c r="C1036">
        <v>16638.939999999999</v>
      </c>
    </row>
    <row r="1037" spans="1:3" x14ac:dyDescent="0.35">
      <c r="A1037" t="s">
        <v>322</v>
      </c>
      <c r="B1037" s="128">
        <v>43808</v>
      </c>
      <c r="C1037">
        <v>16751.53</v>
      </c>
    </row>
    <row r="1038" spans="1:3" x14ac:dyDescent="0.35">
      <c r="A1038" t="s">
        <v>322</v>
      </c>
      <c r="B1038" s="128">
        <v>43805</v>
      </c>
      <c r="C1038">
        <v>16729.080000000002</v>
      </c>
    </row>
    <row r="1039" spans="1:3" x14ac:dyDescent="0.35">
      <c r="A1039" t="s">
        <v>322</v>
      </c>
      <c r="B1039" s="128">
        <v>43804</v>
      </c>
      <c r="C1039">
        <v>16865.04</v>
      </c>
    </row>
    <row r="1040" spans="1:3" x14ac:dyDescent="0.35">
      <c r="A1040" t="s">
        <v>322</v>
      </c>
      <c r="B1040" s="128">
        <v>43803</v>
      </c>
      <c r="C1040">
        <v>16899.88</v>
      </c>
    </row>
    <row r="1041" spans="1:3" x14ac:dyDescent="0.35">
      <c r="A1041" t="s">
        <v>322</v>
      </c>
      <c r="B1041" s="128">
        <v>43802</v>
      </c>
      <c r="C1041">
        <v>16831.11</v>
      </c>
    </row>
    <row r="1042" spans="1:3" x14ac:dyDescent="0.35">
      <c r="A1042" t="s">
        <v>322</v>
      </c>
      <c r="B1042" s="128">
        <v>43801</v>
      </c>
      <c r="C1042">
        <v>16906.88</v>
      </c>
    </row>
    <row r="1043" spans="1:3" x14ac:dyDescent="0.35">
      <c r="A1043" t="s">
        <v>322</v>
      </c>
      <c r="B1043" s="128">
        <v>43798</v>
      </c>
      <c r="C1043">
        <v>16917.89</v>
      </c>
    </row>
    <row r="1044" spans="1:3" x14ac:dyDescent="0.35">
      <c r="A1044" t="s">
        <v>322</v>
      </c>
      <c r="B1044" s="128">
        <v>43797</v>
      </c>
      <c r="C1044">
        <v>17051.310000000001</v>
      </c>
    </row>
    <row r="1045" spans="1:3" x14ac:dyDescent="0.35">
      <c r="A1045" t="s">
        <v>322</v>
      </c>
      <c r="B1045" s="128">
        <v>43796</v>
      </c>
      <c r="C1045">
        <v>16980.54</v>
      </c>
    </row>
    <row r="1046" spans="1:3" x14ac:dyDescent="0.35">
      <c r="A1046" t="s">
        <v>322</v>
      </c>
      <c r="B1046" s="128">
        <v>43795</v>
      </c>
      <c r="C1046">
        <v>16892.150000000001</v>
      </c>
    </row>
    <row r="1047" spans="1:3" x14ac:dyDescent="0.35">
      <c r="A1047" t="s">
        <v>322</v>
      </c>
      <c r="B1047" s="128">
        <v>43794</v>
      </c>
      <c r="C1047">
        <v>16942.7</v>
      </c>
    </row>
    <row r="1048" spans="1:3" x14ac:dyDescent="0.35">
      <c r="A1048" t="s">
        <v>322</v>
      </c>
      <c r="B1048" s="128">
        <v>43791</v>
      </c>
      <c r="C1048">
        <v>16719.11</v>
      </c>
    </row>
    <row r="1049" spans="1:3" x14ac:dyDescent="0.35">
      <c r="A1049" t="s">
        <v>322</v>
      </c>
      <c r="B1049" s="128">
        <v>43790</v>
      </c>
      <c r="C1049">
        <v>16794.86</v>
      </c>
    </row>
    <row r="1050" spans="1:3" x14ac:dyDescent="0.35">
      <c r="A1050" t="s">
        <v>322</v>
      </c>
      <c r="B1050" s="128">
        <v>43789</v>
      </c>
      <c r="C1050">
        <v>16837.96</v>
      </c>
    </row>
    <row r="1051" spans="1:3" x14ac:dyDescent="0.35">
      <c r="A1051" t="s">
        <v>322</v>
      </c>
      <c r="B1051" s="128">
        <v>43788</v>
      </c>
      <c r="C1051">
        <v>16755.150000000001</v>
      </c>
    </row>
    <row r="1052" spans="1:3" x14ac:dyDescent="0.35">
      <c r="A1052" t="s">
        <v>322</v>
      </c>
      <c r="B1052" s="128">
        <v>43787</v>
      </c>
      <c r="C1052">
        <v>16677.14</v>
      </c>
    </row>
    <row r="1053" spans="1:3" x14ac:dyDescent="0.35">
      <c r="A1053" t="s">
        <v>322</v>
      </c>
      <c r="B1053" s="128">
        <v>43784</v>
      </c>
      <c r="C1053">
        <v>16692.52</v>
      </c>
    </row>
    <row r="1054" spans="1:3" x14ac:dyDescent="0.35">
      <c r="A1054" t="s">
        <v>322</v>
      </c>
      <c r="B1054" s="128">
        <v>43783</v>
      </c>
      <c r="C1054">
        <v>16659.78</v>
      </c>
    </row>
    <row r="1055" spans="1:3" x14ac:dyDescent="0.35">
      <c r="A1055" t="s">
        <v>322</v>
      </c>
      <c r="B1055" s="128">
        <v>43782</v>
      </c>
      <c r="C1055">
        <v>16615.37</v>
      </c>
    </row>
    <row r="1056" spans="1:3" x14ac:dyDescent="0.35">
      <c r="A1056" t="s">
        <v>322</v>
      </c>
      <c r="B1056" s="128">
        <v>43780</v>
      </c>
      <c r="C1056">
        <v>16717.75</v>
      </c>
    </row>
    <row r="1057" spans="1:3" x14ac:dyDescent="0.35">
      <c r="A1057" t="s">
        <v>322</v>
      </c>
      <c r="B1057" s="128">
        <v>43777</v>
      </c>
      <c r="C1057">
        <v>16710.37</v>
      </c>
    </row>
    <row r="1058" spans="1:3" x14ac:dyDescent="0.35">
      <c r="A1058" t="s">
        <v>322</v>
      </c>
      <c r="B1058" s="128">
        <v>43776</v>
      </c>
      <c r="C1058">
        <v>16856.169999999998</v>
      </c>
    </row>
    <row r="1059" spans="1:3" x14ac:dyDescent="0.35">
      <c r="A1059" t="s">
        <v>322</v>
      </c>
      <c r="B1059" s="128">
        <v>43775</v>
      </c>
      <c r="C1059">
        <v>16791.61</v>
      </c>
    </row>
    <row r="1060" spans="1:3" x14ac:dyDescent="0.35">
      <c r="A1060" t="s">
        <v>322</v>
      </c>
      <c r="B1060" s="128">
        <v>43774</v>
      </c>
      <c r="C1060">
        <v>16723.060000000001</v>
      </c>
    </row>
    <row r="1061" spans="1:3" x14ac:dyDescent="0.35">
      <c r="A1061" t="s">
        <v>322</v>
      </c>
      <c r="B1061" s="128">
        <v>43773</v>
      </c>
      <c r="C1061">
        <v>16756.87</v>
      </c>
    </row>
    <row r="1062" spans="1:3" x14ac:dyDescent="0.35">
      <c r="A1062" t="s">
        <v>322</v>
      </c>
      <c r="B1062" s="128">
        <v>43770</v>
      </c>
      <c r="C1062">
        <v>16685.73</v>
      </c>
    </row>
    <row r="1063" spans="1:3" x14ac:dyDescent="0.35">
      <c r="A1063" t="s">
        <v>322</v>
      </c>
      <c r="B1063" s="128">
        <v>43769</v>
      </c>
      <c r="C1063">
        <v>16667.29</v>
      </c>
    </row>
    <row r="1064" spans="1:3" x14ac:dyDescent="0.35">
      <c r="A1064" t="s">
        <v>322</v>
      </c>
      <c r="B1064" s="128">
        <v>43768</v>
      </c>
      <c r="C1064">
        <v>16620.07</v>
      </c>
    </row>
    <row r="1065" spans="1:3" x14ac:dyDescent="0.35">
      <c r="A1065" t="s">
        <v>322</v>
      </c>
      <c r="B1065" s="128">
        <v>43767</v>
      </c>
      <c r="C1065">
        <v>16539.23</v>
      </c>
    </row>
    <row r="1066" spans="1:3" x14ac:dyDescent="0.35">
      <c r="A1066" t="s">
        <v>322</v>
      </c>
      <c r="B1066" s="128">
        <v>43765</v>
      </c>
      <c r="C1066">
        <v>16315.17</v>
      </c>
    </row>
    <row r="1067" spans="1:3" x14ac:dyDescent="0.35">
      <c r="A1067" t="s">
        <v>322</v>
      </c>
      <c r="B1067" s="128">
        <v>43763</v>
      </c>
      <c r="C1067">
        <v>16254.45</v>
      </c>
    </row>
    <row r="1068" spans="1:3" x14ac:dyDescent="0.35">
      <c r="A1068" t="s">
        <v>322</v>
      </c>
      <c r="B1068" s="128">
        <v>43762</v>
      </c>
      <c r="C1068">
        <v>16252.63</v>
      </c>
    </row>
    <row r="1069" spans="1:3" x14ac:dyDescent="0.35">
      <c r="A1069" t="s">
        <v>322</v>
      </c>
      <c r="B1069" s="128">
        <v>43761</v>
      </c>
      <c r="C1069">
        <v>16282.84</v>
      </c>
    </row>
    <row r="1070" spans="1:3" x14ac:dyDescent="0.35">
      <c r="A1070" t="s">
        <v>322</v>
      </c>
      <c r="B1070" s="128">
        <v>43760</v>
      </c>
      <c r="C1070">
        <v>16248.11</v>
      </c>
    </row>
    <row r="1071" spans="1:3" x14ac:dyDescent="0.35">
      <c r="A1071" t="s">
        <v>322</v>
      </c>
      <c r="B1071" s="128">
        <v>43756</v>
      </c>
      <c r="C1071">
        <v>16351.16</v>
      </c>
    </row>
    <row r="1072" spans="1:3" x14ac:dyDescent="0.35">
      <c r="A1072" t="s">
        <v>322</v>
      </c>
      <c r="B1072" s="128">
        <v>43755</v>
      </c>
      <c r="C1072">
        <v>16245.31</v>
      </c>
    </row>
    <row r="1073" spans="1:3" x14ac:dyDescent="0.35">
      <c r="A1073" t="s">
        <v>322</v>
      </c>
      <c r="B1073" s="128">
        <v>43754</v>
      </c>
      <c r="C1073">
        <v>16057.85</v>
      </c>
    </row>
    <row r="1074" spans="1:3" x14ac:dyDescent="0.35">
      <c r="A1074" t="s">
        <v>322</v>
      </c>
      <c r="B1074" s="128">
        <v>43753</v>
      </c>
      <c r="C1074">
        <v>16007.83</v>
      </c>
    </row>
    <row r="1075" spans="1:3" x14ac:dyDescent="0.35">
      <c r="A1075" t="s">
        <v>322</v>
      </c>
      <c r="B1075" s="128">
        <v>43752</v>
      </c>
      <c r="C1075">
        <v>15885.74</v>
      </c>
    </row>
    <row r="1076" spans="1:3" x14ac:dyDescent="0.35">
      <c r="A1076" t="s">
        <v>322</v>
      </c>
      <c r="B1076" s="128">
        <v>43749</v>
      </c>
      <c r="C1076">
        <v>15835.17</v>
      </c>
    </row>
    <row r="1077" spans="1:3" x14ac:dyDescent="0.35">
      <c r="A1077" t="s">
        <v>322</v>
      </c>
      <c r="B1077" s="128">
        <v>43748</v>
      </c>
      <c r="C1077">
        <v>15736.44</v>
      </c>
    </row>
    <row r="1078" spans="1:3" x14ac:dyDescent="0.35">
      <c r="A1078" t="s">
        <v>322</v>
      </c>
      <c r="B1078" s="128">
        <v>43747</v>
      </c>
      <c r="C1078">
        <v>15846.77</v>
      </c>
    </row>
    <row r="1079" spans="1:3" x14ac:dyDescent="0.35">
      <c r="A1079" t="s">
        <v>322</v>
      </c>
      <c r="B1079" s="128">
        <v>43745</v>
      </c>
      <c r="C1079">
        <v>15584.94</v>
      </c>
    </row>
    <row r="1080" spans="1:3" x14ac:dyDescent="0.35">
      <c r="A1080" t="s">
        <v>322</v>
      </c>
      <c r="B1080" s="128">
        <v>43742</v>
      </c>
      <c r="C1080">
        <v>15652.7</v>
      </c>
    </row>
    <row r="1081" spans="1:3" x14ac:dyDescent="0.35">
      <c r="A1081" t="s">
        <v>322</v>
      </c>
      <c r="B1081" s="128">
        <v>43741</v>
      </c>
      <c r="C1081">
        <v>15847.7</v>
      </c>
    </row>
    <row r="1082" spans="1:3" x14ac:dyDescent="0.35">
      <c r="A1082" t="s">
        <v>322</v>
      </c>
      <c r="B1082" s="128">
        <v>43739</v>
      </c>
      <c r="C1082">
        <v>15912.03</v>
      </c>
    </row>
    <row r="1083" spans="1:3" x14ac:dyDescent="0.35">
      <c r="A1083" t="s">
        <v>322</v>
      </c>
      <c r="B1083" s="128">
        <v>43738</v>
      </c>
      <c r="C1083">
        <v>16072.5</v>
      </c>
    </row>
    <row r="1084" spans="1:3" x14ac:dyDescent="0.35">
      <c r="A1084" t="s">
        <v>322</v>
      </c>
      <c r="B1084" s="128">
        <v>43735</v>
      </c>
      <c r="C1084">
        <v>16125.65</v>
      </c>
    </row>
    <row r="1085" spans="1:3" x14ac:dyDescent="0.35">
      <c r="A1085" t="s">
        <v>322</v>
      </c>
      <c r="B1085" s="128">
        <v>43734</v>
      </c>
      <c r="C1085">
        <v>16207.96</v>
      </c>
    </row>
    <row r="1086" spans="1:3" x14ac:dyDescent="0.35">
      <c r="A1086" t="s">
        <v>322</v>
      </c>
      <c r="B1086" s="128">
        <v>43733</v>
      </c>
      <c r="C1086">
        <v>16024.49</v>
      </c>
    </row>
    <row r="1087" spans="1:3" x14ac:dyDescent="0.35">
      <c r="A1087" t="s">
        <v>322</v>
      </c>
      <c r="B1087" s="128">
        <v>43732</v>
      </c>
      <c r="C1087">
        <v>16231.83</v>
      </c>
    </row>
    <row r="1088" spans="1:3" x14ac:dyDescent="0.35">
      <c r="A1088" t="s">
        <v>322</v>
      </c>
      <c r="B1088" s="128">
        <v>43731</v>
      </c>
      <c r="C1088">
        <v>16248.62</v>
      </c>
    </row>
    <row r="1089" spans="1:3" x14ac:dyDescent="0.35">
      <c r="A1089" t="s">
        <v>322</v>
      </c>
      <c r="B1089" s="128">
        <v>43728</v>
      </c>
      <c r="C1089">
        <v>15791.99</v>
      </c>
    </row>
    <row r="1090" spans="1:3" x14ac:dyDescent="0.35">
      <c r="A1090" t="s">
        <v>322</v>
      </c>
      <c r="B1090" s="128">
        <v>43727</v>
      </c>
      <c r="C1090">
        <v>14994.39</v>
      </c>
    </row>
    <row r="1091" spans="1:3" x14ac:dyDescent="0.35">
      <c r="A1091" t="s">
        <v>322</v>
      </c>
      <c r="B1091" s="128">
        <v>43726</v>
      </c>
      <c r="C1091">
        <v>15184.69</v>
      </c>
    </row>
    <row r="1092" spans="1:3" x14ac:dyDescent="0.35">
      <c r="A1092" t="s">
        <v>322</v>
      </c>
      <c r="B1092" s="128">
        <v>43725</v>
      </c>
      <c r="C1092">
        <v>15152.39</v>
      </c>
    </row>
    <row r="1093" spans="1:3" x14ac:dyDescent="0.35">
      <c r="A1093" t="s">
        <v>322</v>
      </c>
      <c r="B1093" s="128">
        <v>43724</v>
      </c>
      <c r="C1093">
        <v>15412.83</v>
      </c>
    </row>
    <row r="1094" spans="1:3" x14ac:dyDescent="0.35">
      <c r="A1094" t="s">
        <v>322</v>
      </c>
      <c r="B1094" s="128">
        <v>43721</v>
      </c>
      <c r="C1094">
        <v>15514.2</v>
      </c>
    </row>
    <row r="1095" spans="1:3" x14ac:dyDescent="0.35">
      <c r="A1095" t="s">
        <v>322</v>
      </c>
      <c r="B1095" s="128">
        <v>43720</v>
      </c>
      <c r="C1095">
        <v>15383.82</v>
      </c>
    </row>
    <row r="1096" spans="1:3" x14ac:dyDescent="0.35">
      <c r="A1096" t="s">
        <v>322</v>
      </c>
      <c r="B1096" s="128">
        <v>43719</v>
      </c>
      <c r="C1096">
        <v>15457.9</v>
      </c>
    </row>
    <row r="1097" spans="1:3" x14ac:dyDescent="0.35">
      <c r="A1097" t="s">
        <v>322</v>
      </c>
      <c r="B1097" s="128">
        <v>43717</v>
      </c>
      <c r="C1097">
        <v>15412.14</v>
      </c>
    </row>
    <row r="1098" spans="1:3" x14ac:dyDescent="0.35">
      <c r="A1098" t="s">
        <v>322</v>
      </c>
      <c r="B1098" s="128">
        <v>43714</v>
      </c>
      <c r="C1098">
        <v>15332.57</v>
      </c>
    </row>
    <row r="1099" spans="1:3" x14ac:dyDescent="0.35">
      <c r="A1099" t="s">
        <v>322</v>
      </c>
      <c r="B1099" s="128">
        <v>43713</v>
      </c>
      <c r="C1099">
        <v>15194.86</v>
      </c>
    </row>
    <row r="1100" spans="1:3" x14ac:dyDescent="0.35">
      <c r="A1100" t="s">
        <v>322</v>
      </c>
      <c r="B1100" s="128">
        <v>43712</v>
      </c>
      <c r="C1100">
        <v>15190.3</v>
      </c>
    </row>
    <row r="1101" spans="1:3" x14ac:dyDescent="0.35">
      <c r="A1101" t="s">
        <v>322</v>
      </c>
      <c r="B1101" s="128">
        <v>43711</v>
      </c>
      <c r="C1101">
        <v>15124.8</v>
      </c>
    </row>
    <row r="1102" spans="1:3" x14ac:dyDescent="0.35">
      <c r="A1102" t="s">
        <v>322</v>
      </c>
      <c r="B1102" s="128">
        <v>43707</v>
      </c>
      <c r="C1102">
        <v>15440.47</v>
      </c>
    </row>
    <row r="1103" spans="1:3" x14ac:dyDescent="0.35">
      <c r="A1103" t="s">
        <v>322</v>
      </c>
      <c r="B1103" s="128">
        <v>43706</v>
      </c>
      <c r="C1103">
        <v>15335.45</v>
      </c>
    </row>
    <row r="1104" spans="1:3" x14ac:dyDescent="0.35">
      <c r="A1104" t="s">
        <v>322</v>
      </c>
      <c r="B1104" s="128">
        <v>43705</v>
      </c>
      <c r="C1104">
        <v>15472.44</v>
      </c>
    </row>
    <row r="1105" spans="1:3" x14ac:dyDescent="0.35">
      <c r="A1105" t="s">
        <v>322</v>
      </c>
      <c r="B1105" s="128">
        <v>43704</v>
      </c>
      <c r="C1105">
        <v>15555.44</v>
      </c>
    </row>
    <row r="1106" spans="1:3" x14ac:dyDescent="0.35">
      <c r="A1106" t="s">
        <v>322</v>
      </c>
      <c r="B1106" s="128">
        <v>43703</v>
      </c>
      <c r="C1106">
        <v>15488.96</v>
      </c>
    </row>
    <row r="1107" spans="1:3" x14ac:dyDescent="0.35">
      <c r="A1107" t="s">
        <v>322</v>
      </c>
      <c r="B1107" s="128">
        <v>43700</v>
      </c>
      <c r="C1107">
        <v>15168.88</v>
      </c>
    </row>
    <row r="1108" spans="1:3" x14ac:dyDescent="0.35">
      <c r="A1108" t="s">
        <v>322</v>
      </c>
      <c r="B1108" s="128">
        <v>43699</v>
      </c>
      <c r="C1108">
        <v>15045.62</v>
      </c>
    </row>
    <row r="1109" spans="1:3" x14ac:dyDescent="0.35">
      <c r="A1109" t="s">
        <v>322</v>
      </c>
      <c r="B1109" s="128">
        <v>43698</v>
      </c>
      <c r="C1109">
        <v>15290.85</v>
      </c>
    </row>
    <row r="1110" spans="1:3" x14ac:dyDescent="0.35">
      <c r="A1110" t="s">
        <v>322</v>
      </c>
      <c r="B1110" s="128">
        <v>43697</v>
      </c>
      <c r="C1110">
        <v>15425.45</v>
      </c>
    </row>
    <row r="1111" spans="1:3" x14ac:dyDescent="0.35">
      <c r="A1111" t="s">
        <v>322</v>
      </c>
      <c r="B1111" s="128">
        <v>43696</v>
      </c>
      <c r="C1111">
        <v>15476.07</v>
      </c>
    </row>
    <row r="1112" spans="1:3" x14ac:dyDescent="0.35">
      <c r="A1112" t="s">
        <v>322</v>
      </c>
      <c r="B1112" s="128">
        <v>43693</v>
      </c>
      <c r="C1112">
        <v>15464.58</v>
      </c>
    </row>
    <row r="1113" spans="1:3" x14ac:dyDescent="0.35">
      <c r="A1113" t="s">
        <v>322</v>
      </c>
      <c r="B1113" s="128">
        <v>43691</v>
      </c>
      <c r="C1113">
        <v>15438.86</v>
      </c>
    </row>
    <row r="1114" spans="1:3" x14ac:dyDescent="0.35">
      <c r="A1114" t="s">
        <v>322</v>
      </c>
      <c r="B1114" s="128">
        <v>43690</v>
      </c>
      <c r="C1114">
        <v>15289.35</v>
      </c>
    </row>
    <row r="1115" spans="1:3" x14ac:dyDescent="0.35">
      <c r="A1115" t="s">
        <v>322</v>
      </c>
      <c r="B1115" s="128">
        <v>43686</v>
      </c>
      <c r="C1115">
        <v>15542.72</v>
      </c>
    </row>
    <row r="1116" spans="1:3" x14ac:dyDescent="0.35">
      <c r="A1116" t="s">
        <v>322</v>
      </c>
      <c r="B1116" s="128">
        <v>43685</v>
      </c>
      <c r="C1116">
        <v>15434.73</v>
      </c>
    </row>
    <row r="1117" spans="1:3" x14ac:dyDescent="0.35">
      <c r="A1117" t="s">
        <v>322</v>
      </c>
      <c r="B1117" s="128">
        <v>43684</v>
      </c>
      <c r="C1117">
        <v>15184.34</v>
      </c>
    </row>
    <row r="1118" spans="1:3" x14ac:dyDescent="0.35">
      <c r="A1118" t="s">
        <v>322</v>
      </c>
      <c r="B1118" s="128">
        <v>43683</v>
      </c>
      <c r="C1118">
        <v>15314.03</v>
      </c>
    </row>
    <row r="1119" spans="1:3" x14ac:dyDescent="0.35">
      <c r="A1119" t="s">
        <v>322</v>
      </c>
      <c r="B1119" s="128">
        <v>43682</v>
      </c>
      <c r="C1119">
        <v>15194.27</v>
      </c>
    </row>
    <row r="1120" spans="1:3" x14ac:dyDescent="0.35">
      <c r="A1120" t="s">
        <v>322</v>
      </c>
      <c r="B1120" s="128">
        <v>43679</v>
      </c>
      <c r="C1120">
        <v>15382.73</v>
      </c>
    </row>
    <row r="1121" spans="1:3" x14ac:dyDescent="0.35">
      <c r="A1121" t="s">
        <v>322</v>
      </c>
      <c r="B1121" s="128">
        <v>43678</v>
      </c>
      <c r="C1121">
        <v>15350.83</v>
      </c>
    </row>
    <row r="1122" spans="1:3" x14ac:dyDescent="0.35">
      <c r="A1122" t="s">
        <v>322</v>
      </c>
      <c r="B1122" s="128">
        <v>43677</v>
      </c>
      <c r="C1122">
        <v>15539.43</v>
      </c>
    </row>
    <row r="1123" spans="1:3" x14ac:dyDescent="0.35">
      <c r="A1123" t="s">
        <v>322</v>
      </c>
      <c r="B1123" s="128">
        <v>43676</v>
      </c>
      <c r="C1123">
        <v>15493.33</v>
      </c>
    </row>
    <row r="1124" spans="1:3" x14ac:dyDescent="0.35">
      <c r="A1124" t="s">
        <v>322</v>
      </c>
      <c r="B1124" s="128">
        <v>43675</v>
      </c>
      <c r="C1124">
        <v>15638.42</v>
      </c>
    </row>
    <row r="1125" spans="1:3" x14ac:dyDescent="0.35">
      <c r="A1125" t="s">
        <v>322</v>
      </c>
      <c r="B1125" s="128">
        <v>43672</v>
      </c>
      <c r="C1125">
        <v>15770.63</v>
      </c>
    </row>
    <row r="1126" spans="1:3" x14ac:dyDescent="0.35">
      <c r="A1126" t="s">
        <v>322</v>
      </c>
      <c r="B1126" s="128">
        <v>43671</v>
      </c>
      <c r="C1126">
        <v>15725.6</v>
      </c>
    </row>
    <row r="1127" spans="1:3" x14ac:dyDescent="0.35">
      <c r="A1127" t="s">
        <v>322</v>
      </c>
      <c r="B1127" s="128">
        <v>43670</v>
      </c>
      <c r="C1127">
        <v>15749.37</v>
      </c>
    </row>
    <row r="1128" spans="1:3" x14ac:dyDescent="0.35">
      <c r="A1128" t="s">
        <v>322</v>
      </c>
      <c r="B1128" s="128">
        <v>43669</v>
      </c>
      <c r="C1128">
        <v>15824.55</v>
      </c>
    </row>
    <row r="1129" spans="1:3" x14ac:dyDescent="0.35">
      <c r="A1129" t="s">
        <v>322</v>
      </c>
      <c r="B1129" s="128">
        <v>43668</v>
      </c>
      <c r="C1129">
        <v>15845.74</v>
      </c>
    </row>
    <row r="1130" spans="1:3" x14ac:dyDescent="0.35">
      <c r="A1130" t="s">
        <v>322</v>
      </c>
      <c r="B1130" s="128">
        <v>43665</v>
      </c>
      <c r="C1130">
        <v>15945.55</v>
      </c>
    </row>
    <row r="1131" spans="1:3" x14ac:dyDescent="0.35">
      <c r="A1131" t="s">
        <v>322</v>
      </c>
      <c r="B1131" s="128">
        <v>43664</v>
      </c>
      <c r="C1131">
        <v>16183.16</v>
      </c>
    </row>
    <row r="1132" spans="1:3" x14ac:dyDescent="0.35">
      <c r="A1132" t="s">
        <v>322</v>
      </c>
      <c r="B1132" s="128">
        <v>43663</v>
      </c>
      <c r="C1132">
        <v>16306.82</v>
      </c>
    </row>
    <row r="1133" spans="1:3" x14ac:dyDescent="0.35">
      <c r="A1133" t="s">
        <v>322</v>
      </c>
      <c r="B1133" s="128">
        <v>43662</v>
      </c>
      <c r="C1133">
        <v>16272.08</v>
      </c>
    </row>
    <row r="1134" spans="1:3" x14ac:dyDescent="0.35">
      <c r="A1134" t="s">
        <v>322</v>
      </c>
      <c r="B1134" s="128">
        <v>43661</v>
      </c>
      <c r="C1134">
        <v>16165.28</v>
      </c>
    </row>
    <row r="1135" spans="1:3" x14ac:dyDescent="0.35">
      <c r="A1135" t="s">
        <v>322</v>
      </c>
      <c r="B1135" s="128">
        <v>43658</v>
      </c>
      <c r="C1135">
        <v>16113.75</v>
      </c>
    </row>
    <row r="1136" spans="1:3" x14ac:dyDescent="0.35">
      <c r="A1136" t="s">
        <v>322</v>
      </c>
      <c r="B1136" s="128">
        <v>43657</v>
      </c>
      <c r="C1136">
        <v>16155.78</v>
      </c>
    </row>
    <row r="1137" spans="1:3" x14ac:dyDescent="0.35">
      <c r="A1137" t="s">
        <v>322</v>
      </c>
      <c r="B1137" s="128">
        <v>43656</v>
      </c>
      <c r="C1137">
        <v>16035.44</v>
      </c>
    </row>
    <row r="1138" spans="1:3" x14ac:dyDescent="0.35">
      <c r="A1138" t="s">
        <v>322</v>
      </c>
      <c r="B1138" s="128">
        <v>43655</v>
      </c>
      <c r="C1138">
        <v>16114.46</v>
      </c>
    </row>
    <row r="1139" spans="1:3" x14ac:dyDescent="0.35">
      <c r="A1139" t="s">
        <v>322</v>
      </c>
      <c r="B1139" s="128">
        <v>43654</v>
      </c>
      <c r="C1139">
        <v>16118.27</v>
      </c>
    </row>
    <row r="1140" spans="1:3" x14ac:dyDescent="0.35">
      <c r="A1140" t="s">
        <v>322</v>
      </c>
      <c r="B1140" s="128">
        <v>43651</v>
      </c>
      <c r="C1140">
        <v>16468.990000000002</v>
      </c>
    </row>
    <row r="1141" spans="1:3" x14ac:dyDescent="0.35">
      <c r="A1141" t="s">
        <v>322</v>
      </c>
      <c r="B1141" s="128">
        <v>43650</v>
      </c>
      <c r="C1141">
        <v>16658.04</v>
      </c>
    </row>
    <row r="1142" spans="1:3" x14ac:dyDescent="0.35">
      <c r="A1142" t="s">
        <v>322</v>
      </c>
      <c r="B1142" s="128">
        <v>43649</v>
      </c>
      <c r="C1142">
        <v>16612.16</v>
      </c>
    </row>
    <row r="1143" spans="1:3" x14ac:dyDescent="0.35">
      <c r="A1143" t="s">
        <v>322</v>
      </c>
      <c r="B1143" s="128">
        <v>43648</v>
      </c>
      <c r="C1143">
        <v>16603.169999999998</v>
      </c>
    </row>
    <row r="1144" spans="1:3" x14ac:dyDescent="0.35">
      <c r="A1144" t="s">
        <v>322</v>
      </c>
      <c r="B1144" s="128">
        <v>43647</v>
      </c>
      <c r="C1144">
        <v>16540.88</v>
      </c>
    </row>
    <row r="1145" spans="1:3" x14ac:dyDescent="0.35">
      <c r="A1145" t="s">
        <v>322</v>
      </c>
      <c r="B1145" s="128">
        <v>43644</v>
      </c>
      <c r="C1145">
        <v>16433.849999999999</v>
      </c>
    </row>
    <row r="1146" spans="1:3" x14ac:dyDescent="0.35">
      <c r="A1146" t="s">
        <v>322</v>
      </c>
      <c r="B1146" s="128">
        <v>43643</v>
      </c>
      <c r="C1146">
        <v>16507.34</v>
      </c>
    </row>
    <row r="1147" spans="1:3" x14ac:dyDescent="0.35">
      <c r="A1147" t="s">
        <v>322</v>
      </c>
      <c r="B1147" s="128">
        <v>43642</v>
      </c>
      <c r="C1147">
        <v>16515.68</v>
      </c>
    </row>
    <row r="1148" spans="1:3" x14ac:dyDescent="0.35">
      <c r="A1148" t="s">
        <v>322</v>
      </c>
      <c r="B1148" s="128">
        <v>43641</v>
      </c>
      <c r="C1148">
        <v>16444.46</v>
      </c>
    </row>
    <row r="1149" spans="1:3" x14ac:dyDescent="0.35">
      <c r="A1149" t="s">
        <v>322</v>
      </c>
      <c r="B1149" s="128">
        <v>43640</v>
      </c>
      <c r="C1149">
        <v>16309.52</v>
      </c>
    </row>
    <row r="1150" spans="1:3" x14ac:dyDescent="0.35">
      <c r="A1150" t="s">
        <v>322</v>
      </c>
      <c r="B1150" s="128">
        <v>43637</v>
      </c>
      <c r="C1150">
        <v>16343.59</v>
      </c>
    </row>
    <row r="1151" spans="1:3" x14ac:dyDescent="0.35">
      <c r="A1151" t="s">
        <v>322</v>
      </c>
      <c r="B1151" s="128">
        <v>43636</v>
      </c>
      <c r="C1151">
        <v>16493.650000000001</v>
      </c>
    </row>
    <row r="1152" spans="1:3" x14ac:dyDescent="0.35">
      <c r="A1152" t="s">
        <v>322</v>
      </c>
      <c r="B1152" s="128">
        <v>43635</v>
      </c>
      <c r="C1152">
        <v>16283.94</v>
      </c>
    </row>
    <row r="1153" spans="1:3" x14ac:dyDescent="0.35">
      <c r="A1153" t="s">
        <v>322</v>
      </c>
      <c r="B1153" s="128">
        <v>43634</v>
      </c>
      <c r="C1153">
        <v>16283.98</v>
      </c>
    </row>
    <row r="1154" spans="1:3" x14ac:dyDescent="0.35">
      <c r="A1154" t="s">
        <v>322</v>
      </c>
      <c r="B1154" s="128">
        <v>43633</v>
      </c>
      <c r="C1154">
        <v>16257.06</v>
      </c>
    </row>
    <row r="1155" spans="1:3" x14ac:dyDescent="0.35">
      <c r="A1155" t="s">
        <v>322</v>
      </c>
      <c r="B1155" s="128">
        <v>43630</v>
      </c>
      <c r="C1155">
        <v>16467.55</v>
      </c>
    </row>
    <row r="1156" spans="1:3" x14ac:dyDescent="0.35">
      <c r="A1156" t="s">
        <v>322</v>
      </c>
      <c r="B1156" s="128">
        <v>43629</v>
      </c>
      <c r="C1156">
        <v>16593.97</v>
      </c>
    </row>
    <row r="1157" spans="1:3" x14ac:dyDescent="0.35">
      <c r="A1157" t="s">
        <v>322</v>
      </c>
      <c r="B1157" s="128">
        <v>43628</v>
      </c>
      <c r="C1157">
        <v>16568.09</v>
      </c>
    </row>
    <row r="1158" spans="1:3" x14ac:dyDescent="0.35">
      <c r="A1158" t="s">
        <v>322</v>
      </c>
      <c r="B1158" s="128">
        <v>43627</v>
      </c>
      <c r="C1158">
        <v>16650.75</v>
      </c>
    </row>
    <row r="1159" spans="1:3" x14ac:dyDescent="0.35">
      <c r="A1159" t="s">
        <v>322</v>
      </c>
      <c r="B1159" s="128">
        <v>43626</v>
      </c>
      <c r="C1159">
        <v>16590.990000000002</v>
      </c>
    </row>
    <row r="1160" spans="1:3" x14ac:dyDescent="0.35">
      <c r="A1160" t="s">
        <v>322</v>
      </c>
      <c r="B1160" s="128">
        <v>43623</v>
      </c>
      <c r="C1160">
        <v>16518.62</v>
      </c>
    </row>
    <row r="1161" spans="1:3" x14ac:dyDescent="0.35">
      <c r="A1161" t="s">
        <v>322</v>
      </c>
      <c r="B1161" s="128">
        <v>43622</v>
      </c>
      <c r="C1161">
        <v>16481.14</v>
      </c>
    </row>
    <row r="1162" spans="1:3" x14ac:dyDescent="0.35">
      <c r="A1162" t="s">
        <v>322</v>
      </c>
      <c r="B1162" s="128">
        <v>43620</v>
      </c>
      <c r="C1162">
        <v>16728.740000000002</v>
      </c>
    </row>
    <row r="1163" spans="1:3" x14ac:dyDescent="0.35">
      <c r="A1163" t="s">
        <v>322</v>
      </c>
      <c r="B1163" s="128">
        <v>43619</v>
      </c>
      <c r="C1163">
        <v>16815.25</v>
      </c>
    </row>
    <row r="1164" spans="1:3" x14ac:dyDescent="0.35">
      <c r="A1164" t="s">
        <v>322</v>
      </c>
      <c r="B1164" s="128">
        <v>43616</v>
      </c>
      <c r="C1164">
        <v>16583.46</v>
      </c>
    </row>
    <row r="1165" spans="1:3" x14ac:dyDescent="0.35">
      <c r="A1165" t="s">
        <v>322</v>
      </c>
      <c r="B1165" s="128">
        <v>43615</v>
      </c>
      <c r="C1165">
        <v>16615.59</v>
      </c>
    </row>
    <row r="1166" spans="1:3" x14ac:dyDescent="0.35">
      <c r="A1166" t="s">
        <v>322</v>
      </c>
      <c r="B1166" s="128">
        <v>43614</v>
      </c>
      <c r="C1166">
        <v>16497.62</v>
      </c>
    </row>
    <row r="1167" spans="1:3" x14ac:dyDescent="0.35">
      <c r="A1167" t="s">
        <v>322</v>
      </c>
      <c r="B1167" s="128">
        <v>43613</v>
      </c>
      <c r="C1167">
        <v>16591.7</v>
      </c>
    </row>
    <row r="1168" spans="1:3" x14ac:dyDescent="0.35">
      <c r="A1168" t="s">
        <v>322</v>
      </c>
      <c r="B1168" s="128">
        <v>43612</v>
      </c>
      <c r="C1168">
        <v>16585.13</v>
      </c>
    </row>
    <row r="1169" spans="1:3" x14ac:dyDescent="0.35">
      <c r="A1169" t="s">
        <v>322</v>
      </c>
      <c r="B1169" s="128">
        <v>43609</v>
      </c>
      <c r="C1169">
        <v>16472.95</v>
      </c>
    </row>
    <row r="1170" spans="1:3" x14ac:dyDescent="0.35">
      <c r="A1170" t="s">
        <v>322</v>
      </c>
      <c r="B1170" s="128">
        <v>43608</v>
      </c>
      <c r="C1170">
        <v>16212.78</v>
      </c>
    </row>
    <row r="1171" spans="1:3" x14ac:dyDescent="0.35">
      <c r="A1171" t="s">
        <v>322</v>
      </c>
      <c r="B1171" s="128">
        <v>43607</v>
      </c>
      <c r="C1171">
        <v>16325.28</v>
      </c>
    </row>
    <row r="1172" spans="1:3" x14ac:dyDescent="0.35">
      <c r="A1172" t="s">
        <v>322</v>
      </c>
      <c r="B1172" s="128">
        <v>43606</v>
      </c>
      <c r="C1172">
        <v>16268.26</v>
      </c>
    </row>
    <row r="1173" spans="1:3" x14ac:dyDescent="0.35">
      <c r="A1173" t="s">
        <v>322</v>
      </c>
      <c r="B1173" s="128">
        <v>43605</v>
      </c>
      <c r="C1173">
        <v>16433.77</v>
      </c>
    </row>
    <row r="1174" spans="1:3" x14ac:dyDescent="0.35">
      <c r="A1174" t="s">
        <v>322</v>
      </c>
      <c r="B1174" s="128">
        <v>43602</v>
      </c>
      <c r="C1174">
        <v>15848.71</v>
      </c>
    </row>
    <row r="1175" spans="1:3" x14ac:dyDescent="0.35">
      <c r="A1175" t="s">
        <v>322</v>
      </c>
      <c r="B1175" s="128">
        <v>43601</v>
      </c>
      <c r="C1175">
        <v>15640.22</v>
      </c>
    </row>
    <row r="1176" spans="1:3" x14ac:dyDescent="0.35">
      <c r="A1176" t="s">
        <v>322</v>
      </c>
      <c r="B1176" s="128">
        <v>43600</v>
      </c>
      <c r="C1176">
        <v>15500.82</v>
      </c>
    </row>
    <row r="1177" spans="1:3" x14ac:dyDescent="0.35">
      <c r="A1177" t="s">
        <v>322</v>
      </c>
      <c r="B1177" s="128">
        <v>43599</v>
      </c>
      <c r="C1177">
        <v>15591.19</v>
      </c>
    </row>
    <row r="1178" spans="1:3" x14ac:dyDescent="0.35">
      <c r="A1178" t="s">
        <v>322</v>
      </c>
      <c r="B1178" s="128">
        <v>43598</v>
      </c>
      <c r="C1178">
        <v>15488.6</v>
      </c>
    </row>
    <row r="1179" spans="1:3" x14ac:dyDescent="0.35">
      <c r="A1179" t="s">
        <v>322</v>
      </c>
      <c r="B1179" s="128">
        <v>43595</v>
      </c>
      <c r="C1179">
        <v>15670.18</v>
      </c>
    </row>
    <row r="1180" spans="1:3" x14ac:dyDescent="0.35">
      <c r="A1180" t="s">
        <v>322</v>
      </c>
      <c r="B1180" s="128">
        <v>43594</v>
      </c>
      <c r="C1180">
        <v>15701.95</v>
      </c>
    </row>
    <row r="1181" spans="1:3" x14ac:dyDescent="0.35">
      <c r="A1181" t="s">
        <v>322</v>
      </c>
      <c r="B1181" s="128">
        <v>43593</v>
      </c>
      <c r="C1181">
        <v>15782.09</v>
      </c>
    </row>
    <row r="1182" spans="1:3" x14ac:dyDescent="0.35">
      <c r="A1182" t="s">
        <v>322</v>
      </c>
      <c r="B1182" s="128">
        <v>43592</v>
      </c>
      <c r="C1182">
        <v>15974.41</v>
      </c>
    </row>
    <row r="1183" spans="1:3" x14ac:dyDescent="0.35">
      <c r="A1183" t="s">
        <v>322</v>
      </c>
      <c r="B1183" s="128">
        <v>43591</v>
      </c>
      <c r="C1183">
        <v>16110.44</v>
      </c>
    </row>
    <row r="1184" spans="1:3" x14ac:dyDescent="0.35">
      <c r="A1184" t="s">
        <v>322</v>
      </c>
      <c r="B1184" s="128">
        <v>43588</v>
      </c>
      <c r="C1184">
        <v>16268.79</v>
      </c>
    </row>
    <row r="1185" spans="1:3" x14ac:dyDescent="0.35">
      <c r="A1185" t="s">
        <v>322</v>
      </c>
      <c r="B1185" s="128">
        <v>43587</v>
      </c>
      <c r="C1185">
        <v>16286.18</v>
      </c>
    </row>
    <row r="1186" spans="1:3" x14ac:dyDescent="0.35">
      <c r="A1186" t="s">
        <v>322</v>
      </c>
      <c r="B1186" s="128">
        <v>43585</v>
      </c>
      <c r="C1186">
        <v>16318.66</v>
      </c>
    </row>
    <row r="1187" spans="1:3" x14ac:dyDescent="0.35">
      <c r="A1187" t="s">
        <v>322</v>
      </c>
      <c r="B1187" s="128">
        <v>43581</v>
      </c>
      <c r="C1187">
        <v>16327.7</v>
      </c>
    </row>
    <row r="1188" spans="1:3" x14ac:dyDescent="0.35">
      <c r="A1188" t="s">
        <v>322</v>
      </c>
      <c r="B1188" s="128">
        <v>43580</v>
      </c>
      <c r="C1188">
        <v>16170.98</v>
      </c>
    </row>
    <row r="1189" spans="1:3" x14ac:dyDescent="0.35">
      <c r="A1189" t="s">
        <v>322</v>
      </c>
      <c r="B1189" s="128">
        <v>43579</v>
      </c>
      <c r="C1189">
        <v>16288.16</v>
      </c>
    </row>
    <row r="1190" spans="1:3" x14ac:dyDescent="0.35">
      <c r="A1190" t="s">
        <v>322</v>
      </c>
      <c r="B1190" s="128">
        <v>43578</v>
      </c>
      <c r="C1190">
        <v>16079.51</v>
      </c>
    </row>
    <row r="1191" spans="1:3" x14ac:dyDescent="0.35">
      <c r="A1191" t="s">
        <v>322</v>
      </c>
      <c r="B1191" s="128">
        <v>43577</v>
      </c>
      <c r="C1191">
        <v>16105.19</v>
      </c>
    </row>
    <row r="1192" spans="1:3" x14ac:dyDescent="0.35">
      <c r="A1192" t="s">
        <v>322</v>
      </c>
      <c r="B1192" s="128">
        <v>43573</v>
      </c>
      <c r="C1192">
        <v>16325.13</v>
      </c>
    </row>
    <row r="1193" spans="1:3" x14ac:dyDescent="0.35">
      <c r="A1193" t="s">
        <v>322</v>
      </c>
      <c r="B1193" s="128">
        <v>43571</v>
      </c>
      <c r="C1193">
        <v>16372.86</v>
      </c>
    </row>
    <row r="1194" spans="1:3" x14ac:dyDescent="0.35">
      <c r="A1194" t="s">
        <v>322</v>
      </c>
      <c r="B1194" s="128">
        <v>43570</v>
      </c>
      <c r="C1194">
        <v>16238.41</v>
      </c>
    </row>
    <row r="1195" spans="1:3" x14ac:dyDescent="0.35">
      <c r="A1195" t="s">
        <v>322</v>
      </c>
      <c r="B1195" s="128">
        <v>43567</v>
      </c>
      <c r="C1195">
        <v>16173.27</v>
      </c>
    </row>
    <row r="1196" spans="1:3" x14ac:dyDescent="0.35">
      <c r="A1196" t="s">
        <v>322</v>
      </c>
      <c r="B1196" s="128">
        <v>43566</v>
      </c>
      <c r="C1196">
        <v>16108.32</v>
      </c>
    </row>
    <row r="1197" spans="1:3" x14ac:dyDescent="0.35">
      <c r="A1197" t="s">
        <v>322</v>
      </c>
      <c r="B1197" s="128">
        <v>43565</v>
      </c>
      <c r="C1197">
        <v>16091.08</v>
      </c>
    </row>
    <row r="1198" spans="1:3" x14ac:dyDescent="0.35">
      <c r="A1198" t="s">
        <v>322</v>
      </c>
      <c r="B1198" s="128">
        <v>43564</v>
      </c>
      <c r="C1198">
        <v>16212.81</v>
      </c>
    </row>
    <row r="1199" spans="1:3" x14ac:dyDescent="0.35">
      <c r="A1199" t="s">
        <v>322</v>
      </c>
      <c r="B1199" s="128">
        <v>43563</v>
      </c>
      <c r="C1199">
        <v>16119.14</v>
      </c>
    </row>
    <row r="1200" spans="1:3" x14ac:dyDescent="0.35">
      <c r="A1200" t="s">
        <v>322</v>
      </c>
      <c r="B1200" s="128">
        <v>43560</v>
      </c>
      <c r="C1200">
        <v>16204.48</v>
      </c>
    </row>
    <row r="1201" spans="1:3" x14ac:dyDescent="0.35">
      <c r="A1201" t="s">
        <v>322</v>
      </c>
      <c r="B1201" s="128">
        <v>43559</v>
      </c>
      <c r="C1201">
        <v>16110.09</v>
      </c>
    </row>
    <row r="1202" spans="1:3" x14ac:dyDescent="0.35">
      <c r="A1202" t="s">
        <v>322</v>
      </c>
      <c r="B1202" s="128">
        <v>43558</v>
      </c>
      <c r="C1202">
        <v>16173.92</v>
      </c>
    </row>
    <row r="1203" spans="1:3" x14ac:dyDescent="0.35">
      <c r="A1203" t="s">
        <v>322</v>
      </c>
      <c r="B1203" s="128">
        <v>43557</v>
      </c>
      <c r="C1203">
        <v>16270.13</v>
      </c>
    </row>
    <row r="1204" spans="1:3" x14ac:dyDescent="0.35">
      <c r="A1204" t="s">
        <v>322</v>
      </c>
      <c r="B1204" s="128">
        <v>43556</v>
      </c>
      <c r="C1204">
        <v>16208.94</v>
      </c>
    </row>
    <row r="1205" spans="1:3" x14ac:dyDescent="0.35">
      <c r="A1205" t="s">
        <v>322</v>
      </c>
      <c r="B1205" s="128">
        <v>43553</v>
      </c>
      <c r="C1205">
        <v>16146.11</v>
      </c>
    </row>
    <row r="1206" spans="1:3" x14ac:dyDescent="0.35">
      <c r="A1206" t="s">
        <v>322</v>
      </c>
      <c r="B1206" s="128">
        <v>43552</v>
      </c>
      <c r="C1206">
        <v>16071.26</v>
      </c>
    </row>
    <row r="1207" spans="1:3" x14ac:dyDescent="0.35">
      <c r="A1207" t="s">
        <v>322</v>
      </c>
      <c r="B1207" s="128">
        <v>43551</v>
      </c>
      <c r="C1207">
        <v>15897.65</v>
      </c>
    </row>
    <row r="1208" spans="1:3" x14ac:dyDescent="0.35">
      <c r="A1208" t="s">
        <v>322</v>
      </c>
      <c r="B1208" s="128">
        <v>43550</v>
      </c>
      <c r="C1208">
        <v>15949.46</v>
      </c>
    </row>
    <row r="1209" spans="1:3" x14ac:dyDescent="0.35">
      <c r="A1209" t="s">
        <v>322</v>
      </c>
      <c r="B1209" s="128">
        <v>43549</v>
      </c>
      <c r="C1209">
        <v>15770.26</v>
      </c>
    </row>
    <row r="1210" spans="1:3" x14ac:dyDescent="0.35">
      <c r="A1210" t="s">
        <v>322</v>
      </c>
      <c r="B1210" s="128">
        <v>43546</v>
      </c>
      <c r="C1210">
        <v>15912.88</v>
      </c>
    </row>
    <row r="1211" spans="1:3" x14ac:dyDescent="0.35">
      <c r="A1211" t="s">
        <v>322</v>
      </c>
      <c r="B1211" s="128">
        <v>43544</v>
      </c>
      <c r="C1211">
        <v>15998.51</v>
      </c>
    </row>
    <row r="1212" spans="1:3" x14ac:dyDescent="0.35">
      <c r="A1212" t="s">
        <v>322</v>
      </c>
      <c r="B1212" s="128">
        <v>43543</v>
      </c>
      <c r="C1212">
        <v>16014.33</v>
      </c>
    </row>
    <row r="1213" spans="1:3" x14ac:dyDescent="0.35">
      <c r="A1213" t="s">
        <v>322</v>
      </c>
      <c r="B1213" s="128">
        <v>43542</v>
      </c>
      <c r="C1213">
        <v>15916.8</v>
      </c>
    </row>
    <row r="1214" spans="1:3" x14ac:dyDescent="0.35">
      <c r="A1214" t="s">
        <v>322</v>
      </c>
      <c r="B1214" s="128">
        <v>43539</v>
      </c>
      <c r="C1214">
        <v>15867.74</v>
      </c>
    </row>
    <row r="1215" spans="1:3" x14ac:dyDescent="0.35">
      <c r="A1215" t="s">
        <v>322</v>
      </c>
      <c r="B1215" s="128">
        <v>43538</v>
      </c>
      <c r="C1215">
        <v>15749.67</v>
      </c>
    </row>
    <row r="1216" spans="1:3" x14ac:dyDescent="0.35">
      <c r="A1216" t="s">
        <v>322</v>
      </c>
      <c r="B1216" s="128">
        <v>43537</v>
      </c>
      <c r="C1216">
        <v>15742.86</v>
      </c>
    </row>
    <row r="1217" spans="1:3" x14ac:dyDescent="0.35">
      <c r="A1217" t="s">
        <v>322</v>
      </c>
      <c r="B1217" s="128">
        <v>43536</v>
      </c>
      <c r="C1217">
        <v>15685.41</v>
      </c>
    </row>
    <row r="1218" spans="1:3" x14ac:dyDescent="0.35">
      <c r="A1218" t="s">
        <v>322</v>
      </c>
      <c r="B1218" s="128">
        <v>43535</v>
      </c>
      <c r="C1218">
        <v>15500.61</v>
      </c>
    </row>
    <row r="1219" spans="1:3" x14ac:dyDescent="0.35">
      <c r="A1219" t="s">
        <v>322</v>
      </c>
      <c r="B1219" s="128">
        <v>43532</v>
      </c>
      <c r="C1219">
        <v>15316.51</v>
      </c>
    </row>
    <row r="1220" spans="1:3" x14ac:dyDescent="0.35">
      <c r="A1220" t="s">
        <v>322</v>
      </c>
      <c r="B1220" s="128">
        <v>43531</v>
      </c>
      <c r="C1220">
        <v>15348.14</v>
      </c>
    </row>
    <row r="1221" spans="1:3" x14ac:dyDescent="0.35">
      <c r="A1221" t="s">
        <v>322</v>
      </c>
      <c r="B1221" s="128">
        <v>43530</v>
      </c>
      <c r="C1221">
        <v>15340.93</v>
      </c>
    </row>
    <row r="1222" spans="1:3" x14ac:dyDescent="0.35">
      <c r="A1222" t="s">
        <v>322</v>
      </c>
      <c r="B1222" s="128">
        <v>43529</v>
      </c>
      <c r="C1222">
        <v>15249.97</v>
      </c>
    </row>
    <row r="1223" spans="1:3" x14ac:dyDescent="0.35">
      <c r="A1223" t="s">
        <v>322</v>
      </c>
      <c r="B1223" s="128">
        <v>43525</v>
      </c>
      <c r="C1223">
        <v>15077.91</v>
      </c>
    </row>
    <row r="1224" spans="1:3" x14ac:dyDescent="0.35">
      <c r="A1224" t="s">
        <v>322</v>
      </c>
      <c r="B1224" s="128">
        <v>43524</v>
      </c>
      <c r="C1224">
        <v>14979.39</v>
      </c>
    </row>
    <row r="1225" spans="1:3" x14ac:dyDescent="0.35">
      <c r="A1225" t="s">
        <v>322</v>
      </c>
      <c r="B1225" s="128">
        <v>43523</v>
      </c>
      <c r="C1225">
        <v>14993.45</v>
      </c>
    </row>
    <row r="1226" spans="1:3" x14ac:dyDescent="0.35">
      <c r="A1226" t="s">
        <v>322</v>
      </c>
      <c r="B1226" s="128">
        <v>43522</v>
      </c>
      <c r="C1226">
        <v>15033.15</v>
      </c>
    </row>
    <row r="1227" spans="1:3" x14ac:dyDescent="0.35">
      <c r="A1227" t="s">
        <v>322</v>
      </c>
      <c r="B1227" s="128">
        <v>43521</v>
      </c>
      <c r="C1227">
        <v>15095.33</v>
      </c>
    </row>
    <row r="1228" spans="1:3" x14ac:dyDescent="0.35">
      <c r="A1228" t="s">
        <v>322</v>
      </c>
      <c r="B1228" s="128">
        <v>43518</v>
      </c>
      <c r="C1228">
        <v>14972.58</v>
      </c>
    </row>
    <row r="1229" spans="1:3" x14ac:dyDescent="0.35">
      <c r="A1229" t="s">
        <v>322</v>
      </c>
      <c r="B1229" s="128">
        <v>43517</v>
      </c>
      <c r="C1229">
        <v>14970.12</v>
      </c>
    </row>
    <row r="1230" spans="1:3" x14ac:dyDescent="0.35">
      <c r="A1230" t="s">
        <v>322</v>
      </c>
      <c r="B1230" s="128">
        <v>43516</v>
      </c>
      <c r="C1230">
        <v>14891.6</v>
      </c>
    </row>
    <row r="1231" spans="1:3" x14ac:dyDescent="0.35">
      <c r="A1231" t="s">
        <v>322</v>
      </c>
      <c r="B1231" s="128">
        <v>43515</v>
      </c>
      <c r="C1231">
        <v>14709.75</v>
      </c>
    </row>
    <row r="1232" spans="1:3" x14ac:dyDescent="0.35">
      <c r="A1232" t="s">
        <v>322</v>
      </c>
      <c r="B1232" s="128">
        <v>43514</v>
      </c>
      <c r="C1232">
        <v>14760.48</v>
      </c>
    </row>
    <row r="1233" spans="1:3" x14ac:dyDescent="0.35">
      <c r="A1233" t="s">
        <v>322</v>
      </c>
      <c r="B1233" s="128">
        <v>43511</v>
      </c>
      <c r="C1233">
        <v>14876.27</v>
      </c>
    </row>
    <row r="1234" spans="1:3" x14ac:dyDescent="0.35">
      <c r="A1234" t="s">
        <v>322</v>
      </c>
      <c r="B1234" s="128">
        <v>43510</v>
      </c>
      <c r="C1234">
        <v>14906.26</v>
      </c>
    </row>
    <row r="1235" spans="1:3" x14ac:dyDescent="0.35">
      <c r="A1235" t="s">
        <v>322</v>
      </c>
      <c r="B1235" s="128">
        <v>43509</v>
      </c>
      <c r="C1235">
        <v>14970.62</v>
      </c>
    </row>
    <row r="1236" spans="1:3" x14ac:dyDescent="0.35">
      <c r="A1236" t="s">
        <v>322</v>
      </c>
      <c r="B1236" s="128">
        <v>43508</v>
      </c>
      <c r="C1236">
        <v>15023.02</v>
      </c>
    </row>
    <row r="1237" spans="1:3" x14ac:dyDescent="0.35">
      <c r="A1237" t="s">
        <v>322</v>
      </c>
      <c r="B1237" s="128">
        <v>43507</v>
      </c>
      <c r="C1237">
        <v>15100.61</v>
      </c>
    </row>
    <row r="1238" spans="1:3" x14ac:dyDescent="0.35">
      <c r="A1238" t="s">
        <v>322</v>
      </c>
      <c r="B1238" s="128">
        <v>43504</v>
      </c>
      <c r="C1238">
        <v>15173.02</v>
      </c>
    </row>
    <row r="1239" spans="1:3" x14ac:dyDescent="0.35">
      <c r="A1239" t="s">
        <v>322</v>
      </c>
      <c r="B1239" s="128">
        <v>43503</v>
      </c>
      <c r="C1239">
        <v>15347.41</v>
      </c>
    </row>
    <row r="1240" spans="1:3" x14ac:dyDescent="0.35">
      <c r="A1240" t="s">
        <v>322</v>
      </c>
      <c r="B1240" s="128">
        <v>43502</v>
      </c>
      <c r="C1240">
        <v>15337.8</v>
      </c>
    </row>
    <row r="1241" spans="1:3" x14ac:dyDescent="0.35">
      <c r="A1241" t="s">
        <v>322</v>
      </c>
      <c r="B1241" s="128">
        <v>43501</v>
      </c>
      <c r="C1241">
        <v>15155.99</v>
      </c>
    </row>
    <row r="1242" spans="1:3" x14ac:dyDescent="0.35">
      <c r="A1242" t="s">
        <v>322</v>
      </c>
      <c r="B1242" s="128">
        <v>43500</v>
      </c>
      <c r="C1242">
        <v>15125.02</v>
      </c>
    </row>
    <row r="1243" spans="1:3" x14ac:dyDescent="0.35">
      <c r="A1243" t="s">
        <v>322</v>
      </c>
      <c r="B1243" s="128">
        <v>43497</v>
      </c>
      <c r="C1243">
        <v>15099.21</v>
      </c>
    </row>
    <row r="1244" spans="1:3" x14ac:dyDescent="0.35">
      <c r="A1244" t="s">
        <v>322</v>
      </c>
      <c r="B1244" s="128">
        <v>43496</v>
      </c>
      <c r="C1244">
        <v>15012.34</v>
      </c>
    </row>
    <row r="1245" spans="1:3" x14ac:dyDescent="0.35">
      <c r="A1245" t="s">
        <v>322</v>
      </c>
      <c r="B1245" s="128">
        <v>43495</v>
      </c>
      <c r="C1245">
        <v>14764.02</v>
      </c>
    </row>
    <row r="1246" spans="1:3" x14ac:dyDescent="0.35">
      <c r="A1246" t="s">
        <v>322</v>
      </c>
      <c r="B1246" s="128">
        <v>43494</v>
      </c>
      <c r="C1246">
        <v>14764.59</v>
      </c>
    </row>
    <row r="1247" spans="1:3" x14ac:dyDescent="0.35">
      <c r="A1247" t="s">
        <v>322</v>
      </c>
      <c r="B1247" s="128">
        <v>43493</v>
      </c>
      <c r="C1247">
        <v>14777.11</v>
      </c>
    </row>
    <row r="1248" spans="1:3" x14ac:dyDescent="0.35">
      <c r="A1248" t="s">
        <v>322</v>
      </c>
      <c r="B1248" s="128">
        <v>43490</v>
      </c>
      <c r="C1248">
        <v>14942.09</v>
      </c>
    </row>
    <row r="1249" spans="1:3" x14ac:dyDescent="0.35">
      <c r="A1249" t="s">
        <v>322</v>
      </c>
      <c r="B1249" s="128">
        <v>43489</v>
      </c>
      <c r="C1249">
        <v>15038.07</v>
      </c>
    </row>
    <row r="1250" spans="1:3" x14ac:dyDescent="0.35">
      <c r="A1250" t="s">
        <v>322</v>
      </c>
      <c r="B1250" s="128">
        <v>43488</v>
      </c>
      <c r="C1250">
        <v>15007.4</v>
      </c>
    </row>
    <row r="1251" spans="1:3" x14ac:dyDescent="0.35">
      <c r="A1251" t="s">
        <v>322</v>
      </c>
      <c r="B1251" s="128">
        <v>43487</v>
      </c>
      <c r="C1251">
        <v>15133.83</v>
      </c>
    </row>
    <row r="1252" spans="1:3" x14ac:dyDescent="0.35">
      <c r="A1252" t="s">
        <v>322</v>
      </c>
      <c r="B1252" s="128">
        <v>43486</v>
      </c>
      <c r="C1252">
        <v>15188</v>
      </c>
    </row>
    <row r="1253" spans="1:3" x14ac:dyDescent="0.35">
      <c r="A1253" t="s">
        <v>322</v>
      </c>
      <c r="B1253" s="128">
        <v>43483</v>
      </c>
      <c r="C1253">
        <v>15111.95</v>
      </c>
    </row>
    <row r="1254" spans="1:3" x14ac:dyDescent="0.35">
      <c r="A1254" t="s">
        <v>322</v>
      </c>
      <c r="B1254" s="128">
        <v>43482</v>
      </c>
      <c r="C1254">
        <v>15109.54</v>
      </c>
    </row>
    <row r="1255" spans="1:3" x14ac:dyDescent="0.35">
      <c r="A1255" t="s">
        <v>322</v>
      </c>
      <c r="B1255" s="128">
        <v>43481</v>
      </c>
      <c r="C1255">
        <v>15087.41</v>
      </c>
    </row>
    <row r="1256" spans="1:3" x14ac:dyDescent="0.35">
      <c r="A1256" t="s">
        <v>322</v>
      </c>
      <c r="B1256" s="128">
        <v>43480</v>
      </c>
      <c r="C1256">
        <v>15082.59</v>
      </c>
    </row>
    <row r="1257" spans="1:3" x14ac:dyDescent="0.35">
      <c r="A1257" t="s">
        <v>322</v>
      </c>
      <c r="B1257" s="128">
        <v>43479</v>
      </c>
      <c r="C1257">
        <v>14875.92</v>
      </c>
    </row>
    <row r="1258" spans="1:3" x14ac:dyDescent="0.35">
      <c r="A1258" t="s">
        <v>322</v>
      </c>
      <c r="B1258" s="128">
        <v>43476</v>
      </c>
      <c r="C1258">
        <v>14955.33</v>
      </c>
    </row>
    <row r="1259" spans="1:3" x14ac:dyDescent="0.35">
      <c r="A1259" t="s">
        <v>322</v>
      </c>
      <c r="B1259" s="128">
        <v>43475</v>
      </c>
      <c r="C1259">
        <v>14992.23</v>
      </c>
    </row>
    <row r="1260" spans="1:3" x14ac:dyDescent="0.35">
      <c r="A1260" t="s">
        <v>322</v>
      </c>
      <c r="B1260" s="128">
        <v>43474</v>
      </c>
      <c r="C1260">
        <v>15038.74</v>
      </c>
    </row>
    <row r="1261" spans="1:3" x14ac:dyDescent="0.35">
      <c r="A1261" t="s">
        <v>322</v>
      </c>
      <c r="B1261" s="128">
        <v>43473</v>
      </c>
      <c r="C1261">
        <v>14965.34</v>
      </c>
    </row>
    <row r="1262" spans="1:3" x14ac:dyDescent="0.35">
      <c r="A1262" t="s">
        <v>322</v>
      </c>
      <c r="B1262" s="128">
        <v>43472</v>
      </c>
      <c r="C1262">
        <v>14923.27</v>
      </c>
    </row>
    <row r="1263" spans="1:3" x14ac:dyDescent="0.35">
      <c r="A1263" t="s">
        <v>322</v>
      </c>
      <c r="B1263" s="128">
        <v>43469</v>
      </c>
      <c r="C1263">
        <v>14861.69</v>
      </c>
    </row>
    <row r="1264" spans="1:3" x14ac:dyDescent="0.35">
      <c r="A1264" t="s">
        <v>322</v>
      </c>
      <c r="B1264" s="128">
        <v>43468</v>
      </c>
      <c r="C1264">
        <v>14785.38</v>
      </c>
    </row>
    <row r="1265" spans="1:3" x14ac:dyDescent="0.35">
      <c r="A1265" t="s">
        <v>322</v>
      </c>
      <c r="B1265" s="128">
        <v>43467</v>
      </c>
      <c r="C1265">
        <v>14951.96</v>
      </c>
    </row>
    <row r="1266" spans="1:3" x14ac:dyDescent="0.35">
      <c r="A1266" t="s">
        <v>322</v>
      </c>
      <c r="B1266" s="128">
        <v>43466</v>
      </c>
      <c r="C1266">
        <v>15114.9</v>
      </c>
    </row>
    <row r="1267" spans="1:3" x14ac:dyDescent="0.35">
      <c r="A1267" t="s">
        <v>322</v>
      </c>
      <c r="B1267" s="128">
        <v>43465</v>
      </c>
      <c r="C1267">
        <v>15048.98</v>
      </c>
    </row>
    <row r="1268" spans="1:3" x14ac:dyDescent="0.35">
      <c r="A1268" t="s">
        <v>322</v>
      </c>
      <c r="B1268" s="128">
        <v>43462</v>
      </c>
      <c r="C1268">
        <v>15045.34</v>
      </c>
    </row>
    <row r="1269" spans="1:3" x14ac:dyDescent="0.35">
      <c r="A1269" t="s">
        <v>322</v>
      </c>
      <c r="B1269" s="128">
        <v>43461</v>
      </c>
      <c r="C1269">
        <v>14930.18</v>
      </c>
    </row>
    <row r="1270" spans="1:3" x14ac:dyDescent="0.35">
      <c r="A1270" t="s">
        <v>322</v>
      </c>
      <c r="B1270" s="128">
        <v>43460</v>
      </c>
      <c r="C1270">
        <v>14860.97</v>
      </c>
    </row>
    <row r="1271" spans="1:3" x14ac:dyDescent="0.35">
      <c r="A1271" t="s">
        <v>322</v>
      </c>
      <c r="B1271" s="128">
        <v>43458</v>
      </c>
      <c r="C1271">
        <v>14769.13</v>
      </c>
    </row>
    <row r="1272" spans="1:3" x14ac:dyDescent="0.35">
      <c r="A1272" t="s">
        <v>322</v>
      </c>
      <c r="B1272" s="128">
        <v>43455</v>
      </c>
      <c r="C1272">
        <v>14894.42</v>
      </c>
    </row>
    <row r="1273" spans="1:3" x14ac:dyDescent="0.35">
      <c r="A1273" t="s">
        <v>322</v>
      </c>
      <c r="B1273" s="128">
        <v>43454</v>
      </c>
      <c r="C1273">
        <v>15163.14</v>
      </c>
    </row>
    <row r="1274" spans="1:3" x14ac:dyDescent="0.35">
      <c r="A1274" t="s">
        <v>322</v>
      </c>
      <c r="B1274" s="128">
        <v>43453</v>
      </c>
      <c r="C1274">
        <v>15184.78</v>
      </c>
    </row>
    <row r="1275" spans="1:3" x14ac:dyDescent="0.35">
      <c r="A1275" t="s">
        <v>322</v>
      </c>
      <c r="B1275" s="128">
        <v>43452</v>
      </c>
      <c r="C1275">
        <v>15103.63</v>
      </c>
    </row>
    <row r="1276" spans="1:3" x14ac:dyDescent="0.35">
      <c r="A1276" t="s">
        <v>322</v>
      </c>
      <c r="B1276" s="128">
        <v>43451</v>
      </c>
      <c r="C1276">
        <v>15075.46</v>
      </c>
    </row>
    <row r="1277" spans="1:3" x14ac:dyDescent="0.35">
      <c r="A1277" t="s">
        <v>322</v>
      </c>
      <c r="B1277" s="128">
        <v>43448</v>
      </c>
      <c r="C1277">
        <v>14960.64</v>
      </c>
    </row>
    <row r="1278" spans="1:3" x14ac:dyDescent="0.35">
      <c r="A1278" t="s">
        <v>322</v>
      </c>
      <c r="B1278" s="128">
        <v>43447</v>
      </c>
      <c r="C1278">
        <v>14941.4</v>
      </c>
    </row>
    <row r="1279" spans="1:3" x14ac:dyDescent="0.35">
      <c r="A1279" t="s">
        <v>322</v>
      </c>
      <c r="B1279" s="128">
        <v>43446</v>
      </c>
      <c r="C1279">
        <v>14866.71</v>
      </c>
    </row>
    <row r="1280" spans="1:3" x14ac:dyDescent="0.35">
      <c r="A1280" t="s">
        <v>322</v>
      </c>
      <c r="B1280" s="128">
        <v>43445</v>
      </c>
      <c r="C1280">
        <v>14605.79</v>
      </c>
    </row>
    <row r="1281" spans="1:3" x14ac:dyDescent="0.35">
      <c r="A1281" t="s">
        <v>322</v>
      </c>
      <c r="B1281" s="128">
        <v>43444</v>
      </c>
      <c r="C1281">
        <v>14521.73</v>
      </c>
    </row>
    <row r="1282" spans="1:3" x14ac:dyDescent="0.35">
      <c r="A1282" t="s">
        <v>322</v>
      </c>
      <c r="B1282" s="128">
        <v>43441</v>
      </c>
      <c r="C1282">
        <v>14805.93</v>
      </c>
    </row>
    <row r="1283" spans="1:3" x14ac:dyDescent="0.35">
      <c r="A1283" t="s">
        <v>322</v>
      </c>
      <c r="B1283" s="128">
        <v>43440</v>
      </c>
      <c r="C1283">
        <v>14677.79</v>
      </c>
    </row>
    <row r="1284" spans="1:3" x14ac:dyDescent="0.35">
      <c r="A1284" t="s">
        <v>322</v>
      </c>
      <c r="B1284" s="128">
        <v>43439</v>
      </c>
      <c r="C1284">
        <v>14929.43</v>
      </c>
    </row>
    <row r="1285" spans="1:3" x14ac:dyDescent="0.35">
      <c r="A1285" t="s">
        <v>322</v>
      </c>
      <c r="B1285" s="128">
        <v>43438</v>
      </c>
      <c r="C1285">
        <v>15049.32</v>
      </c>
    </row>
    <row r="1286" spans="1:3" x14ac:dyDescent="0.35">
      <c r="A1286" t="s">
        <v>322</v>
      </c>
      <c r="B1286" s="128">
        <v>43437</v>
      </c>
      <c r="C1286">
        <v>15069.07</v>
      </c>
    </row>
    <row r="1287" spans="1:3" x14ac:dyDescent="0.35">
      <c r="A1287" t="s">
        <v>322</v>
      </c>
      <c r="B1287" s="128">
        <v>43434</v>
      </c>
      <c r="C1287">
        <v>15059.37</v>
      </c>
    </row>
    <row r="1288" spans="1:3" x14ac:dyDescent="0.35">
      <c r="A1288" t="s">
        <v>322</v>
      </c>
      <c r="B1288" s="128">
        <v>43433</v>
      </c>
      <c r="C1288">
        <v>15034.36</v>
      </c>
    </row>
    <row r="1289" spans="1:3" x14ac:dyDescent="0.35">
      <c r="A1289" t="s">
        <v>322</v>
      </c>
      <c r="B1289" s="128">
        <v>43432</v>
      </c>
      <c r="C1289">
        <v>14854.61</v>
      </c>
    </row>
    <row r="1290" spans="1:3" x14ac:dyDescent="0.35">
      <c r="A1290" t="s">
        <v>322</v>
      </c>
      <c r="B1290" s="128">
        <v>43431</v>
      </c>
      <c r="C1290">
        <v>14794.7</v>
      </c>
    </row>
    <row r="1291" spans="1:3" x14ac:dyDescent="0.35">
      <c r="A1291" t="s">
        <v>322</v>
      </c>
      <c r="B1291" s="128">
        <v>43430</v>
      </c>
      <c r="C1291">
        <v>14715.81</v>
      </c>
    </row>
    <row r="1292" spans="1:3" x14ac:dyDescent="0.35">
      <c r="A1292" t="s">
        <v>322</v>
      </c>
      <c r="B1292" s="128">
        <v>43426</v>
      </c>
      <c r="C1292">
        <v>14574.82</v>
      </c>
    </row>
    <row r="1293" spans="1:3" x14ac:dyDescent="0.35">
      <c r="A1293" t="s">
        <v>322</v>
      </c>
      <c r="B1293" s="128">
        <v>43425</v>
      </c>
      <c r="C1293">
        <v>14676.29</v>
      </c>
    </row>
    <row r="1294" spans="1:3" x14ac:dyDescent="0.35">
      <c r="A1294" t="s">
        <v>322</v>
      </c>
      <c r="B1294" s="128">
        <v>43424</v>
      </c>
      <c r="C1294">
        <v>14754.03</v>
      </c>
    </row>
    <row r="1295" spans="1:3" x14ac:dyDescent="0.35">
      <c r="A1295" t="s">
        <v>322</v>
      </c>
      <c r="B1295" s="128">
        <v>43423</v>
      </c>
      <c r="C1295">
        <v>14902.44</v>
      </c>
    </row>
    <row r="1296" spans="1:3" x14ac:dyDescent="0.35">
      <c r="A1296" t="s">
        <v>322</v>
      </c>
      <c r="B1296" s="128">
        <v>43420</v>
      </c>
      <c r="C1296">
        <v>14790.05</v>
      </c>
    </row>
    <row r="1297" spans="1:3" x14ac:dyDescent="0.35">
      <c r="A1297" t="s">
        <v>322</v>
      </c>
      <c r="B1297" s="128">
        <v>43419</v>
      </c>
      <c r="C1297">
        <v>14699.33</v>
      </c>
    </row>
    <row r="1298" spans="1:3" x14ac:dyDescent="0.35">
      <c r="A1298" t="s">
        <v>322</v>
      </c>
      <c r="B1298" s="128">
        <v>43418</v>
      </c>
      <c r="C1298">
        <v>14643.42</v>
      </c>
    </row>
    <row r="1299" spans="1:3" x14ac:dyDescent="0.35">
      <c r="A1299" t="s">
        <v>322</v>
      </c>
      <c r="B1299" s="128">
        <v>43417</v>
      </c>
      <c r="C1299">
        <v>14651.98</v>
      </c>
    </row>
    <row r="1300" spans="1:3" x14ac:dyDescent="0.35">
      <c r="A1300" t="s">
        <v>322</v>
      </c>
      <c r="B1300" s="128">
        <v>43416</v>
      </c>
      <c r="C1300">
        <v>14513.12</v>
      </c>
    </row>
    <row r="1301" spans="1:3" x14ac:dyDescent="0.35">
      <c r="A1301" t="s">
        <v>322</v>
      </c>
      <c r="B1301" s="128">
        <v>43413</v>
      </c>
      <c r="C1301">
        <v>14655.69</v>
      </c>
    </row>
    <row r="1302" spans="1:3" x14ac:dyDescent="0.35">
      <c r="A1302" t="s">
        <v>322</v>
      </c>
      <c r="B1302" s="128">
        <v>43411</v>
      </c>
      <c r="C1302">
        <v>14673.98</v>
      </c>
    </row>
    <row r="1303" spans="1:3" x14ac:dyDescent="0.35">
      <c r="A1303" t="s">
        <v>322</v>
      </c>
      <c r="B1303" s="128">
        <v>43410</v>
      </c>
      <c r="C1303">
        <v>14579.28</v>
      </c>
    </row>
    <row r="1304" spans="1:3" x14ac:dyDescent="0.35">
      <c r="A1304" t="s">
        <v>322</v>
      </c>
      <c r="B1304" s="128">
        <v>43409</v>
      </c>
      <c r="C1304">
        <v>14570.98</v>
      </c>
    </row>
    <row r="1305" spans="1:3" x14ac:dyDescent="0.35">
      <c r="A1305" t="s">
        <v>322</v>
      </c>
      <c r="B1305" s="128">
        <v>43406</v>
      </c>
      <c r="C1305">
        <v>14609.96</v>
      </c>
    </row>
    <row r="1306" spans="1:3" x14ac:dyDescent="0.35">
      <c r="A1306" t="s">
        <v>322</v>
      </c>
      <c r="B1306" s="128">
        <v>43405</v>
      </c>
      <c r="C1306">
        <v>14371.1</v>
      </c>
    </row>
    <row r="1307" spans="1:3" x14ac:dyDescent="0.35">
      <c r="A1307" t="s">
        <v>322</v>
      </c>
      <c r="B1307" s="128">
        <v>43404</v>
      </c>
      <c r="C1307">
        <v>14377.38</v>
      </c>
    </row>
    <row r="1308" spans="1:3" x14ac:dyDescent="0.35">
      <c r="A1308" t="s">
        <v>322</v>
      </c>
      <c r="B1308" s="128">
        <v>43403</v>
      </c>
      <c r="C1308">
        <v>14116.91</v>
      </c>
    </row>
    <row r="1309" spans="1:3" x14ac:dyDescent="0.35">
      <c r="A1309" t="s">
        <v>322</v>
      </c>
      <c r="B1309" s="128">
        <v>43402</v>
      </c>
      <c r="C1309">
        <v>14189.11</v>
      </c>
    </row>
    <row r="1310" spans="1:3" x14ac:dyDescent="0.35">
      <c r="A1310" t="s">
        <v>322</v>
      </c>
      <c r="B1310" s="128">
        <v>43399</v>
      </c>
      <c r="C1310">
        <v>13882.95</v>
      </c>
    </row>
    <row r="1311" spans="1:3" x14ac:dyDescent="0.35">
      <c r="A1311" t="s">
        <v>322</v>
      </c>
      <c r="B1311" s="128">
        <v>43398</v>
      </c>
      <c r="C1311">
        <v>14014.33</v>
      </c>
    </row>
    <row r="1312" spans="1:3" x14ac:dyDescent="0.35">
      <c r="A1312" t="s">
        <v>322</v>
      </c>
      <c r="B1312" s="128">
        <v>43397</v>
      </c>
      <c r="C1312">
        <v>14139.75</v>
      </c>
    </row>
    <row r="1313" spans="1:3" x14ac:dyDescent="0.35">
      <c r="A1313" t="s">
        <v>322</v>
      </c>
      <c r="B1313" s="128">
        <v>43396</v>
      </c>
      <c r="C1313">
        <v>14031.96</v>
      </c>
    </row>
    <row r="1314" spans="1:3" x14ac:dyDescent="0.35">
      <c r="A1314" t="s">
        <v>322</v>
      </c>
      <c r="B1314" s="128">
        <v>43395</v>
      </c>
      <c r="C1314">
        <v>14166.64</v>
      </c>
    </row>
    <row r="1315" spans="1:3" x14ac:dyDescent="0.35">
      <c r="A1315" t="s">
        <v>322</v>
      </c>
      <c r="B1315" s="128">
        <v>43392</v>
      </c>
      <c r="C1315">
        <v>14247.22</v>
      </c>
    </row>
    <row r="1316" spans="1:3" x14ac:dyDescent="0.35">
      <c r="A1316" t="s">
        <v>322</v>
      </c>
      <c r="B1316" s="128">
        <v>43390</v>
      </c>
      <c r="C1316">
        <v>14453.94</v>
      </c>
    </row>
    <row r="1317" spans="1:3" x14ac:dyDescent="0.35">
      <c r="A1317" t="s">
        <v>322</v>
      </c>
      <c r="B1317" s="128">
        <v>43389</v>
      </c>
      <c r="C1317">
        <v>14636.1</v>
      </c>
    </row>
    <row r="1318" spans="1:3" x14ac:dyDescent="0.35">
      <c r="A1318" t="s">
        <v>322</v>
      </c>
      <c r="B1318" s="128">
        <v>43388</v>
      </c>
      <c r="C1318">
        <v>14536.17</v>
      </c>
    </row>
    <row r="1319" spans="1:3" x14ac:dyDescent="0.35">
      <c r="A1319" t="s">
        <v>322</v>
      </c>
      <c r="B1319" s="128">
        <v>43385</v>
      </c>
      <c r="C1319">
        <v>14480.86</v>
      </c>
    </row>
    <row r="1320" spans="1:3" x14ac:dyDescent="0.35">
      <c r="A1320" t="s">
        <v>322</v>
      </c>
      <c r="B1320" s="128">
        <v>43384</v>
      </c>
      <c r="C1320">
        <v>14152</v>
      </c>
    </row>
    <row r="1321" spans="1:3" x14ac:dyDescent="0.35">
      <c r="A1321" t="s">
        <v>322</v>
      </c>
      <c r="B1321" s="128">
        <v>43383</v>
      </c>
      <c r="C1321">
        <v>14463.71</v>
      </c>
    </row>
    <row r="1322" spans="1:3" x14ac:dyDescent="0.35">
      <c r="A1322" t="s">
        <v>322</v>
      </c>
      <c r="B1322" s="128">
        <v>43382</v>
      </c>
      <c r="C1322">
        <v>14243.79</v>
      </c>
    </row>
    <row r="1323" spans="1:3" x14ac:dyDescent="0.35">
      <c r="A1323" t="s">
        <v>322</v>
      </c>
      <c r="B1323" s="128">
        <v>43381</v>
      </c>
      <c r="C1323">
        <v>14308.79</v>
      </c>
    </row>
    <row r="1324" spans="1:3" x14ac:dyDescent="0.35">
      <c r="A1324" t="s">
        <v>322</v>
      </c>
      <c r="B1324" s="128">
        <v>43378</v>
      </c>
      <c r="C1324">
        <v>14265.08</v>
      </c>
    </row>
    <row r="1325" spans="1:3" x14ac:dyDescent="0.35">
      <c r="A1325" t="s">
        <v>322</v>
      </c>
      <c r="B1325" s="128">
        <v>43377</v>
      </c>
      <c r="C1325">
        <v>14656.09</v>
      </c>
    </row>
    <row r="1326" spans="1:3" x14ac:dyDescent="0.35">
      <c r="A1326" t="s">
        <v>322</v>
      </c>
      <c r="B1326" s="128">
        <v>43376</v>
      </c>
      <c r="C1326">
        <v>15014.23</v>
      </c>
    </row>
    <row r="1327" spans="1:3" x14ac:dyDescent="0.35">
      <c r="A1327" t="s">
        <v>322</v>
      </c>
      <c r="B1327" s="128">
        <v>43374</v>
      </c>
      <c r="C1327">
        <v>15221.75</v>
      </c>
    </row>
    <row r="1328" spans="1:3" x14ac:dyDescent="0.35">
      <c r="A1328" t="s">
        <v>322</v>
      </c>
      <c r="B1328" s="128">
        <v>43371</v>
      </c>
      <c r="C1328">
        <v>15114.08</v>
      </c>
    </row>
    <row r="1329" spans="1:3" x14ac:dyDescent="0.35">
      <c r="A1329" t="s">
        <v>322</v>
      </c>
      <c r="B1329" s="128">
        <v>43370</v>
      </c>
      <c r="C1329">
        <v>15179.24</v>
      </c>
    </row>
    <row r="1330" spans="1:3" x14ac:dyDescent="0.35">
      <c r="A1330" t="s">
        <v>322</v>
      </c>
      <c r="B1330" s="128">
        <v>43369</v>
      </c>
      <c r="C1330">
        <v>15284.67</v>
      </c>
    </row>
    <row r="1331" spans="1:3" x14ac:dyDescent="0.35">
      <c r="A1331" t="s">
        <v>322</v>
      </c>
      <c r="B1331" s="128">
        <v>43368</v>
      </c>
      <c r="C1331">
        <v>15303.55</v>
      </c>
    </row>
    <row r="1332" spans="1:3" x14ac:dyDescent="0.35">
      <c r="A1332" t="s">
        <v>322</v>
      </c>
      <c r="B1332" s="128">
        <v>43367</v>
      </c>
      <c r="C1332">
        <v>15165.18</v>
      </c>
    </row>
    <row r="1333" spans="1:3" x14ac:dyDescent="0.35">
      <c r="A1333" t="s">
        <v>322</v>
      </c>
      <c r="B1333" s="128">
        <v>43364</v>
      </c>
      <c r="C1333">
        <v>15408.16</v>
      </c>
    </row>
    <row r="1334" spans="1:3" x14ac:dyDescent="0.35">
      <c r="A1334" t="s">
        <v>322</v>
      </c>
      <c r="B1334" s="128">
        <v>43362</v>
      </c>
      <c r="C1334">
        <v>15534.28</v>
      </c>
    </row>
    <row r="1335" spans="1:3" x14ac:dyDescent="0.35">
      <c r="A1335" t="s">
        <v>322</v>
      </c>
      <c r="B1335" s="128">
        <v>43361</v>
      </c>
      <c r="C1335">
        <v>15594.57</v>
      </c>
    </row>
    <row r="1336" spans="1:3" x14ac:dyDescent="0.35">
      <c r="A1336" t="s">
        <v>322</v>
      </c>
      <c r="B1336" s="128">
        <v>43360</v>
      </c>
      <c r="C1336">
        <v>15731.26</v>
      </c>
    </row>
    <row r="1337" spans="1:3" x14ac:dyDescent="0.35">
      <c r="A1337" t="s">
        <v>322</v>
      </c>
      <c r="B1337" s="128">
        <v>43357</v>
      </c>
      <c r="C1337">
        <v>15920.48</v>
      </c>
    </row>
    <row r="1338" spans="1:3" x14ac:dyDescent="0.35">
      <c r="A1338" t="s">
        <v>322</v>
      </c>
      <c r="B1338" s="128">
        <v>43355</v>
      </c>
      <c r="C1338">
        <v>15719.62</v>
      </c>
    </row>
    <row r="1339" spans="1:3" x14ac:dyDescent="0.35">
      <c r="A1339" t="s">
        <v>322</v>
      </c>
      <c r="B1339" s="128">
        <v>43354</v>
      </c>
      <c r="C1339">
        <v>15605.11</v>
      </c>
    </row>
    <row r="1340" spans="1:3" x14ac:dyDescent="0.35">
      <c r="A1340" t="s">
        <v>322</v>
      </c>
      <c r="B1340" s="128">
        <v>43353</v>
      </c>
      <c r="C1340">
        <v>15813.26</v>
      </c>
    </row>
    <row r="1341" spans="1:3" x14ac:dyDescent="0.35">
      <c r="A1341" t="s">
        <v>322</v>
      </c>
      <c r="B1341" s="128">
        <v>43350</v>
      </c>
      <c r="C1341">
        <v>16019.84</v>
      </c>
    </row>
    <row r="1342" spans="1:3" x14ac:dyDescent="0.35">
      <c r="A1342" t="s">
        <v>322</v>
      </c>
      <c r="B1342" s="128">
        <v>43349</v>
      </c>
      <c r="C1342">
        <v>15947.67</v>
      </c>
    </row>
    <row r="1343" spans="1:3" x14ac:dyDescent="0.35">
      <c r="A1343" t="s">
        <v>322</v>
      </c>
      <c r="B1343" s="128">
        <v>43348</v>
      </c>
      <c r="C1343">
        <v>15862.15</v>
      </c>
    </row>
    <row r="1344" spans="1:3" x14ac:dyDescent="0.35">
      <c r="A1344" t="s">
        <v>322</v>
      </c>
      <c r="B1344" s="128">
        <v>43347</v>
      </c>
      <c r="C1344">
        <v>15922.09</v>
      </c>
    </row>
    <row r="1345" spans="1:3" x14ac:dyDescent="0.35">
      <c r="A1345" t="s">
        <v>322</v>
      </c>
      <c r="B1345" s="128">
        <v>43346</v>
      </c>
      <c r="C1345">
        <v>16007.84</v>
      </c>
    </row>
    <row r="1346" spans="1:3" x14ac:dyDescent="0.35">
      <c r="A1346" t="s">
        <v>322</v>
      </c>
      <c r="B1346" s="128">
        <v>43343</v>
      </c>
      <c r="C1346">
        <v>16143.51</v>
      </c>
    </row>
    <row r="1347" spans="1:3" x14ac:dyDescent="0.35">
      <c r="A1347" t="s">
        <v>322</v>
      </c>
      <c r="B1347" s="128">
        <v>43342</v>
      </c>
      <c r="C1347">
        <v>16135.61</v>
      </c>
    </row>
    <row r="1348" spans="1:3" x14ac:dyDescent="0.35">
      <c r="A1348" t="s">
        <v>322</v>
      </c>
      <c r="B1348" s="128">
        <v>43341</v>
      </c>
      <c r="C1348">
        <v>16156.02</v>
      </c>
    </row>
    <row r="1349" spans="1:3" x14ac:dyDescent="0.35">
      <c r="A1349" t="s">
        <v>322</v>
      </c>
      <c r="B1349" s="128">
        <v>43340</v>
      </c>
      <c r="C1349">
        <v>16220.45</v>
      </c>
    </row>
    <row r="1350" spans="1:3" x14ac:dyDescent="0.35">
      <c r="A1350" t="s">
        <v>322</v>
      </c>
      <c r="B1350" s="128">
        <v>43339</v>
      </c>
      <c r="C1350">
        <v>16156.09</v>
      </c>
    </row>
    <row r="1351" spans="1:3" x14ac:dyDescent="0.35">
      <c r="A1351" t="s">
        <v>322</v>
      </c>
      <c r="B1351" s="128">
        <v>43336</v>
      </c>
      <c r="C1351">
        <v>15969.8</v>
      </c>
    </row>
    <row r="1352" spans="1:3" x14ac:dyDescent="0.35">
      <c r="A1352" t="s">
        <v>322</v>
      </c>
      <c r="B1352" s="128">
        <v>43335</v>
      </c>
      <c r="C1352">
        <v>16001.85</v>
      </c>
    </row>
    <row r="1353" spans="1:3" x14ac:dyDescent="0.35">
      <c r="A1353" t="s">
        <v>322</v>
      </c>
      <c r="B1353" s="128">
        <v>43333</v>
      </c>
      <c r="C1353">
        <v>15985.48</v>
      </c>
    </row>
    <row r="1354" spans="1:3" x14ac:dyDescent="0.35">
      <c r="A1354" t="s">
        <v>322</v>
      </c>
      <c r="B1354" s="128">
        <v>43332</v>
      </c>
      <c r="C1354">
        <v>15959.04</v>
      </c>
    </row>
    <row r="1355" spans="1:3" x14ac:dyDescent="0.35">
      <c r="A1355" t="s">
        <v>322</v>
      </c>
      <c r="B1355" s="128">
        <v>43329</v>
      </c>
      <c r="C1355">
        <v>15845.64</v>
      </c>
    </row>
    <row r="1356" spans="1:3" x14ac:dyDescent="0.35">
      <c r="A1356" t="s">
        <v>322</v>
      </c>
      <c r="B1356" s="128">
        <v>43328</v>
      </c>
      <c r="C1356">
        <v>15727.25</v>
      </c>
    </row>
    <row r="1357" spans="1:3" x14ac:dyDescent="0.35">
      <c r="A1357" t="s">
        <v>322</v>
      </c>
      <c r="B1357" s="128">
        <v>43326</v>
      </c>
      <c r="C1357">
        <v>15796.36</v>
      </c>
    </row>
    <row r="1358" spans="1:3" x14ac:dyDescent="0.35">
      <c r="A1358" t="s">
        <v>322</v>
      </c>
      <c r="B1358" s="128">
        <v>43325</v>
      </c>
      <c r="C1358">
        <v>15676.23</v>
      </c>
    </row>
    <row r="1359" spans="1:3" x14ac:dyDescent="0.35">
      <c r="A1359" t="s">
        <v>322</v>
      </c>
      <c r="B1359" s="128">
        <v>43322</v>
      </c>
      <c r="C1359">
        <v>15776.32</v>
      </c>
    </row>
    <row r="1360" spans="1:3" x14ac:dyDescent="0.35">
      <c r="A1360" t="s">
        <v>322</v>
      </c>
      <c r="B1360" s="128">
        <v>43321</v>
      </c>
      <c r="C1360">
        <v>15833.23</v>
      </c>
    </row>
    <row r="1361" spans="1:3" x14ac:dyDescent="0.35">
      <c r="A1361" t="s">
        <v>322</v>
      </c>
      <c r="B1361" s="128">
        <v>43320</v>
      </c>
      <c r="C1361">
        <v>15803.64</v>
      </c>
    </row>
    <row r="1362" spans="1:3" x14ac:dyDescent="0.35">
      <c r="A1362" t="s">
        <v>322</v>
      </c>
      <c r="B1362" s="128">
        <v>43319</v>
      </c>
      <c r="C1362">
        <v>15720.05</v>
      </c>
    </row>
    <row r="1363" spans="1:3" x14ac:dyDescent="0.35">
      <c r="A1363" t="s">
        <v>322</v>
      </c>
      <c r="B1363" s="128">
        <v>43318</v>
      </c>
      <c r="C1363">
        <v>15716.78</v>
      </c>
    </row>
    <row r="1364" spans="1:3" x14ac:dyDescent="0.35">
      <c r="A1364" t="s">
        <v>322</v>
      </c>
      <c r="B1364" s="128">
        <v>43315</v>
      </c>
      <c r="C1364">
        <v>15680.51</v>
      </c>
    </row>
    <row r="1365" spans="1:3" x14ac:dyDescent="0.35">
      <c r="A1365" t="s">
        <v>322</v>
      </c>
      <c r="B1365" s="128">
        <v>43314</v>
      </c>
      <c r="C1365">
        <v>15520.25</v>
      </c>
    </row>
    <row r="1366" spans="1:3" x14ac:dyDescent="0.35">
      <c r="A1366" t="s">
        <v>322</v>
      </c>
      <c r="B1366" s="128">
        <v>43313</v>
      </c>
      <c r="C1366">
        <v>15658.27</v>
      </c>
    </row>
    <row r="1367" spans="1:3" x14ac:dyDescent="0.35">
      <c r="A1367" t="s">
        <v>322</v>
      </c>
      <c r="B1367" s="128">
        <v>43312</v>
      </c>
      <c r="C1367">
        <v>15672.47</v>
      </c>
    </row>
    <row r="1368" spans="1:3" x14ac:dyDescent="0.35">
      <c r="A1368" t="s">
        <v>322</v>
      </c>
      <c r="B1368" s="128">
        <v>43311</v>
      </c>
      <c r="C1368">
        <v>15621.47</v>
      </c>
    </row>
    <row r="1369" spans="1:3" x14ac:dyDescent="0.35">
      <c r="A1369" t="s">
        <v>322</v>
      </c>
      <c r="B1369" s="128">
        <v>43308</v>
      </c>
      <c r="C1369">
        <v>15564.19</v>
      </c>
    </row>
    <row r="1370" spans="1:3" x14ac:dyDescent="0.35">
      <c r="A1370" t="s">
        <v>322</v>
      </c>
      <c r="B1370" s="128">
        <v>43307</v>
      </c>
      <c r="C1370">
        <v>15410.93</v>
      </c>
    </row>
    <row r="1371" spans="1:3" x14ac:dyDescent="0.35">
      <c r="A1371" t="s">
        <v>322</v>
      </c>
      <c r="B1371" s="128">
        <v>43306</v>
      </c>
      <c r="C1371">
        <v>15358.72</v>
      </c>
    </row>
    <row r="1372" spans="1:3" x14ac:dyDescent="0.35">
      <c r="A1372" t="s">
        <v>322</v>
      </c>
      <c r="B1372" s="128">
        <v>43305</v>
      </c>
      <c r="C1372">
        <v>15361.88</v>
      </c>
    </row>
    <row r="1373" spans="1:3" x14ac:dyDescent="0.35">
      <c r="A1373" t="s">
        <v>322</v>
      </c>
      <c r="B1373" s="128">
        <v>43304</v>
      </c>
      <c r="C1373">
        <v>15293.5</v>
      </c>
    </row>
    <row r="1374" spans="1:3" x14ac:dyDescent="0.35">
      <c r="A1374" t="s">
        <v>322</v>
      </c>
      <c r="B1374" s="128">
        <v>43301</v>
      </c>
      <c r="C1374">
        <v>15190.13</v>
      </c>
    </row>
    <row r="1375" spans="1:3" x14ac:dyDescent="0.35">
      <c r="A1375" t="s">
        <v>322</v>
      </c>
      <c r="B1375" s="128">
        <v>43300</v>
      </c>
      <c r="C1375">
        <v>15116.83</v>
      </c>
    </row>
    <row r="1376" spans="1:3" x14ac:dyDescent="0.35">
      <c r="A1376" t="s">
        <v>322</v>
      </c>
      <c r="B1376" s="128">
        <v>43299</v>
      </c>
      <c r="C1376">
        <v>15135.57</v>
      </c>
    </row>
    <row r="1377" spans="1:3" x14ac:dyDescent="0.35">
      <c r="A1377" t="s">
        <v>322</v>
      </c>
      <c r="B1377" s="128">
        <v>43298</v>
      </c>
      <c r="C1377">
        <v>15172.31</v>
      </c>
    </row>
    <row r="1378" spans="1:3" x14ac:dyDescent="0.35">
      <c r="A1378" t="s">
        <v>322</v>
      </c>
      <c r="B1378" s="128">
        <v>43297</v>
      </c>
      <c r="C1378">
        <v>15072.66</v>
      </c>
    </row>
    <row r="1379" spans="1:3" x14ac:dyDescent="0.35">
      <c r="A1379" t="s">
        <v>322</v>
      </c>
      <c r="B1379" s="128">
        <v>43294</v>
      </c>
      <c r="C1379">
        <v>15184.88</v>
      </c>
    </row>
    <row r="1380" spans="1:3" x14ac:dyDescent="0.35">
      <c r="A1380" t="s">
        <v>322</v>
      </c>
      <c r="B1380" s="128">
        <v>43293</v>
      </c>
      <c r="C1380">
        <v>15190.82</v>
      </c>
    </row>
    <row r="1381" spans="1:3" x14ac:dyDescent="0.35">
      <c r="A1381" t="s">
        <v>322</v>
      </c>
      <c r="B1381" s="128">
        <v>43292</v>
      </c>
      <c r="C1381">
        <v>15085.15</v>
      </c>
    </row>
    <row r="1382" spans="1:3" x14ac:dyDescent="0.35">
      <c r="A1382" t="s">
        <v>322</v>
      </c>
      <c r="B1382" s="128">
        <v>43291</v>
      </c>
      <c r="C1382">
        <v>15081.6</v>
      </c>
    </row>
    <row r="1383" spans="1:3" x14ac:dyDescent="0.35">
      <c r="A1383" t="s">
        <v>322</v>
      </c>
      <c r="B1383" s="128">
        <v>43290</v>
      </c>
      <c r="C1383">
        <v>14951.2</v>
      </c>
    </row>
    <row r="1384" spans="1:3" x14ac:dyDescent="0.35">
      <c r="A1384" t="s">
        <v>322</v>
      </c>
      <c r="B1384" s="128">
        <v>43287</v>
      </c>
      <c r="C1384">
        <v>14840.13</v>
      </c>
    </row>
    <row r="1385" spans="1:3" x14ac:dyDescent="0.35">
      <c r="A1385" t="s">
        <v>322</v>
      </c>
      <c r="B1385" s="128">
        <v>43286</v>
      </c>
      <c r="C1385">
        <v>14808.54</v>
      </c>
    </row>
    <row r="1386" spans="1:3" x14ac:dyDescent="0.35">
      <c r="A1386" t="s">
        <v>322</v>
      </c>
      <c r="B1386" s="128">
        <v>43285</v>
      </c>
      <c r="C1386">
        <v>14830.5</v>
      </c>
    </row>
    <row r="1387" spans="1:3" x14ac:dyDescent="0.35">
      <c r="A1387" t="s">
        <v>322</v>
      </c>
      <c r="B1387" s="128">
        <v>43284</v>
      </c>
      <c r="C1387">
        <v>14734.11</v>
      </c>
    </row>
    <row r="1388" spans="1:3" x14ac:dyDescent="0.35">
      <c r="A1388" t="s">
        <v>322</v>
      </c>
      <c r="B1388" s="128">
        <v>43283</v>
      </c>
      <c r="C1388">
        <v>14675.42</v>
      </c>
    </row>
    <row r="1389" spans="1:3" x14ac:dyDescent="0.35">
      <c r="A1389" t="s">
        <v>322</v>
      </c>
      <c r="B1389" s="128">
        <v>43280</v>
      </c>
      <c r="C1389">
        <v>14753.91</v>
      </c>
    </row>
    <row r="1390" spans="1:3" x14ac:dyDescent="0.35">
      <c r="A1390" t="s">
        <v>322</v>
      </c>
      <c r="B1390" s="128">
        <v>43279</v>
      </c>
      <c r="C1390">
        <v>14581.53</v>
      </c>
    </row>
    <row r="1391" spans="1:3" x14ac:dyDescent="0.35">
      <c r="A1391" t="s">
        <v>322</v>
      </c>
      <c r="B1391" s="128">
        <v>43278</v>
      </c>
      <c r="C1391">
        <v>14694.16</v>
      </c>
    </row>
    <row r="1392" spans="1:3" x14ac:dyDescent="0.35">
      <c r="A1392" t="s">
        <v>322</v>
      </c>
      <c r="B1392" s="128">
        <v>43277</v>
      </c>
      <c r="C1392">
        <v>14821.45</v>
      </c>
    </row>
    <row r="1393" spans="1:3" x14ac:dyDescent="0.35">
      <c r="A1393" t="s">
        <v>322</v>
      </c>
      <c r="B1393" s="128">
        <v>43276</v>
      </c>
      <c r="C1393">
        <v>14812.28</v>
      </c>
    </row>
    <row r="1394" spans="1:3" x14ac:dyDescent="0.35">
      <c r="A1394" t="s">
        <v>322</v>
      </c>
      <c r="B1394" s="128">
        <v>43273</v>
      </c>
      <c r="C1394">
        <v>14894.02</v>
      </c>
    </row>
    <row r="1395" spans="1:3" x14ac:dyDescent="0.35">
      <c r="A1395" t="s">
        <v>322</v>
      </c>
      <c r="B1395" s="128">
        <v>43272</v>
      </c>
      <c r="C1395">
        <v>14782.87</v>
      </c>
    </row>
    <row r="1396" spans="1:3" x14ac:dyDescent="0.35">
      <c r="A1396" t="s">
        <v>322</v>
      </c>
      <c r="B1396" s="128">
        <v>43271</v>
      </c>
      <c r="C1396">
        <v>14822.46</v>
      </c>
    </row>
    <row r="1397" spans="1:3" x14ac:dyDescent="0.35">
      <c r="A1397" t="s">
        <v>322</v>
      </c>
      <c r="B1397" s="128">
        <v>43270</v>
      </c>
      <c r="C1397">
        <v>14737.7</v>
      </c>
    </row>
    <row r="1398" spans="1:3" x14ac:dyDescent="0.35">
      <c r="A1398" t="s">
        <v>322</v>
      </c>
      <c r="B1398" s="128">
        <v>43269</v>
      </c>
      <c r="C1398">
        <v>14860.73</v>
      </c>
    </row>
    <row r="1399" spans="1:3" x14ac:dyDescent="0.35">
      <c r="A1399" t="s">
        <v>322</v>
      </c>
      <c r="B1399" s="128">
        <v>43266</v>
      </c>
      <c r="C1399">
        <v>14885.3</v>
      </c>
    </row>
    <row r="1400" spans="1:3" x14ac:dyDescent="0.35">
      <c r="A1400" t="s">
        <v>322</v>
      </c>
      <c r="B1400" s="128">
        <v>43265</v>
      </c>
      <c r="C1400">
        <v>14871.97</v>
      </c>
    </row>
    <row r="1401" spans="1:3" x14ac:dyDescent="0.35">
      <c r="A1401" t="s">
        <v>322</v>
      </c>
      <c r="B1401" s="128">
        <v>43264</v>
      </c>
      <c r="C1401">
        <v>14917.68</v>
      </c>
    </row>
    <row r="1402" spans="1:3" x14ac:dyDescent="0.35">
      <c r="A1402" t="s">
        <v>322</v>
      </c>
      <c r="B1402" s="128">
        <v>43263</v>
      </c>
      <c r="C1402">
        <v>14898.66</v>
      </c>
    </row>
    <row r="1403" spans="1:3" x14ac:dyDescent="0.35">
      <c r="A1403" t="s">
        <v>322</v>
      </c>
      <c r="B1403" s="128">
        <v>43262</v>
      </c>
      <c r="C1403">
        <v>14821.8</v>
      </c>
    </row>
    <row r="1404" spans="1:3" x14ac:dyDescent="0.35">
      <c r="A1404" t="s">
        <v>322</v>
      </c>
      <c r="B1404" s="128">
        <v>43259</v>
      </c>
      <c r="C1404">
        <v>14795.31</v>
      </c>
    </row>
    <row r="1405" spans="1:3" x14ac:dyDescent="0.35">
      <c r="A1405" t="s">
        <v>322</v>
      </c>
      <c r="B1405" s="128">
        <v>43258</v>
      </c>
      <c r="C1405">
        <v>14796.24</v>
      </c>
    </row>
    <row r="1406" spans="1:3" x14ac:dyDescent="0.35">
      <c r="A1406" t="s">
        <v>322</v>
      </c>
      <c r="B1406" s="128">
        <v>43257</v>
      </c>
      <c r="C1406">
        <v>14681.25</v>
      </c>
    </row>
    <row r="1407" spans="1:3" x14ac:dyDescent="0.35">
      <c r="A1407" t="s">
        <v>322</v>
      </c>
      <c r="B1407" s="128">
        <v>43256</v>
      </c>
      <c r="C1407">
        <v>14555.52</v>
      </c>
    </row>
    <row r="1408" spans="1:3" x14ac:dyDescent="0.35">
      <c r="A1408" t="s">
        <v>322</v>
      </c>
      <c r="B1408" s="128">
        <v>43255</v>
      </c>
      <c r="C1408">
        <v>14604.11</v>
      </c>
    </row>
    <row r="1409" spans="1:3" x14ac:dyDescent="0.35">
      <c r="A1409" t="s">
        <v>322</v>
      </c>
      <c r="B1409" s="128">
        <v>43252</v>
      </c>
      <c r="C1409">
        <v>14695.4</v>
      </c>
    </row>
    <row r="1410" spans="1:3" x14ac:dyDescent="0.35">
      <c r="A1410" t="s">
        <v>322</v>
      </c>
      <c r="B1410" s="128">
        <v>43251</v>
      </c>
      <c r="C1410">
        <v>14750.26</v>
      </c>
    </row>
    <row r="1411" spans="1:3" x14ac:dyDescent="0.35">
      <c r="A1411" t="s">
        <v>322</v>
      </c>
      <c r="B1411" s="128">
        <v>43250</v>
      </c>
      <c r="C1411">
        <v>14568.75</v>
      </c>
    </row>
    <row r="1412" spans="1:3" x14ac:dyDescent="0.35">
      <c r="A1412" t="s">
        <v>322</v>
      </c>
      <c r="B1412" s="128">
        <v>43249</v>
      </c>
      <c r="C1412">
        <v>14594.78</v>
      </c>
    </row>
    <row r="1413" spans="1:3" x14ac:dyDescent="0.35">
      <c r="A1413" t="s">
        <v>322</v>
      </c>
      <c r="B1413" s="128">
        <v>43248</v>
      </c>
      <c r="C1413">
        <v>14670.76</v>
      </c>
    </row>
    <row r="1414" spans="1:3" x14ac:dyDescent="0.35">
      <c r="A1414" t="s">
        <v>322</v>
      </c>
      <c r="B1414" s="128">
        <v>43245</v>
      </c>
      <c r="C1414">
        <v>14556.18</v>
      </c>
    </row>
    <row r="1415" spans="1:3" x14ac:dyDescent="0.35">
      <c r="A1415" t="s">
        <v>322</v>
      </c>
      <c r="B1415" s="128">
        <v>43244</v>
      </c>
      <c r="C1415">
        <v>14415.65</v>
      </c>
    </row>
    <row r="1416" spans="1:3" x14ac:dyDescent="0.35">
      <c r="A1416" t="s">
        <v>322</v>
      </c>
      <c r="B1416" s="128">
        <v>43243</v>
      </c>
      <c r="C1416">
        <v>14301.15</v>
      </c>
    </row>
    <row r="1417" spans="1:3" x14ac:dyDescent="0.35">
      <c r="A1417" t="s">
        <v>322</v>
      </c>
      <c r="B1417" s="128">
        <v>43242</v>
      </c>
      <c r="C1417">
        <v>14446.97</v>
      </c>
    </row>
    <row r="1418" spans="1:3" x14ac:dyDescent="0.35">
      <c r="A1418" t="s">
        <v>322</v>
      </c>
      <c r="B1418" s="128">
        <v>43241</v>
      </c>
      <c r="C1418">
        <v>14419.57</v>
      </c>
    </row>
    <row r="1419" spans="1:3" x14ac:dyDescent="0.35">
      <c r="A1419" t="s">
        <v>322</v>
      </c>
      <c r="B1419" s="128">
        <v>43238</v>
      </c>
      <c r="C1419">
        <v>14528.82</v>
      </c>
    </row>
    <row r="1420" spans="1:3" x14ac:dyDescent="0.35">
      <c r="A1420" t="s">
        <v>322</v>
      </c>
      <c r="B1420" s="128">
        <v>43237</v>
      </c>
      <c r="C1420">
        <v>14647.15</v>
      </c>
    </row>
    <row r="1421" spans="1:3" x14ac:dyDescent="0.35">
      <c r="A1421" t="s">
        <v>322</v>
      </c>
      <c r="B1421" s="128">
        <v>43236</v>
      </c>
      <c r="C1421">
        <v>14727.26</v>
      </c>
    </row>
    <row r="1422" spans="1:3" x14ac:dyDescent="0.35">
      <c r="A1422" t="s">
        <v>322</v>
      </c>
      <c r="B1422" s="128">
        <v>43235</v>
      </c>
      <c r="C1422">
        <v>14810.54</v>
      </c>
    </row>
    <row r="1423" spans="1:3" x14ac:dyDescent="0.35">
      <c r="A1423" t="s">
        <v>322</v>
      </c>
      <c r="B1423" s="128">
        <v>43234</v>
      </c>
      <c r="C1423">
        <v>14817.01</v>
      </c>
    </row>
    <row r="1424" spans="1:3" x14ac:dyDescent="0.35">
      <c r="A1424" t="s">
        <v>322</v>
      </c>
      <c r="B1424" s="128">
        <v>43231</v>
      </c>
      <c r="C1424">
        <v>14816.93</v>
      </c>
    </row>
    <row r="1425" spans="1:3" x14ac:dyDescent="0.35">
      <c r="A1425" t="s">
        <v>322</v>
      </c>
      <c r="B1425" s="128">
        <v>43230</v>
      </c>
      <c r="C1425">
        <v>14693.55</v>
      </c>
    </row>
    <row r="1426" spans="1:3" x14ac:dyDescent="0.35">
      <c r="A1426" t="s">
        <v>322</v>
      </c>
      <c r="B1426" s="128">
        <v>43229</v>
      </c>
      <c r="C1426">
        <v>14728.03</v>
      </c>
    </row>
    <row r="1427" spans="1:3" x14ac:dyDescent="0.35">
      <c r="A1427" t="s">
        <v>322</v>
      </c>
      <c r="B1427" s="128">
        <v>43228</v>
      </c>
      <c r="C1427">
        <v>14694.93</v>
      </c>
    </row>
    <row r="1428" spans="1:3" x14ac:dyDescent="0.35">
      <c r="A1428" t="s">
        <v>322</v>
      </c>
      <c r="B1428" s="128">
        <v>43227</v>
      </c>
      <c r="C1428">
        <v>14691.72</v>
      </c>
    </row>
    <row r="1429" spans="1:3" x14ac:dyDescent="0.35">
      <c r="A1429" t="s">
        <v>322</v>
      </c>
      <c r="B1429" s="128">
        <v>43224</v>
      </c>
      <c r="C1429">
        <v>14558.42</v>
      </c>
    </row>
    <row r="1430" spans="1:3" x14ac:dyDescent="0.35">
      <c r="A1430" t="s">
        <v>322</v>
      </c>
      <c r="B1430" s="128">
        <v>43223</v>
      </c>
      <c r="C1430">
        <v>14642.62</v>
      </c>
    </row>
    <row r="1431" spans="1:3" x14ac:dyDescent="0.35">
      <c r="A1431" t="s">
        <v>322</v>
      </c>
      <c r="B1431" s="128">
        <v>43222</v>
      </c>
      <c r="C1431">
        <v>14695.26</v>
      </c>
    </row>
    <row r="1432" spans="1:3" x14ac:dyDescent="0.35">
      <c r="A1432" t="s">
        <v>322</v>
      </c>
      <c r="B1432" s="128">
        <v>43220</v>
      </c>
      <c r="C1432">
        <v>14723.32</v>
      </c>
    </row>
    <row r="1433" spans="1:3" x14ac:dyDescent="0.35">
      <c r="A1433" t="s">
        <v>322</v>
      </c>
      <c r="B1433" s="128">
        <v>43217</v>
      </c>
      <c r="C1433">
        <v>14658.83</v>
      </c>
    </row>
    <row r="1434" spans="1:3" x14ac:dyDescent="0.35">
      <c r="A1434" t="s">
        <v>322</v>
      </c>
      <c r="B1434" s="128">
        <v>43216</v>
      </c>
      <c r="C1434">
        <v>14556.65</v>
      </c>
    </row>
    <row r="1435" spans="1:3" x14ac:dyDescent="0.35">
      <c r="A1435" t="s">
        <v>322</v>
      </c>
      <c r="B1435" s="128">
        <v>43215</v>
      </c>
      <c r="C1435">
        <v>14491.88</v>
      </c>
    </row>
    <row r="1436" spans="1:3" x14ac:dyDescent="0.35">
      <c r="A1436" t="s">
        <v>322</v>
      </c>
      <c r="B1436" s="128">
        <v>43214</v>
      </c>
      <c r="C1436">
        <v>14551.96</v>
      </c>
    </row>
    <row r="1437" spans="1:3" x14ac:dyDescent="0.35">
      <c r="A1437" t="s">
        <v>322</v>
      </c>
      <c r="B1437" s="128">
        <v>43213</v>
      </c>
      <c r="C1437">
        <v>14511.28</v>
      </c>
    </row>
    <row r="1438" spans="1:3" x14ac:dyDescent="0.35">
      <c r="A1438" t="s">
        <v>322</v>
      </c>
      <c r="B1438" s="128">
        <v>43210</v>
      </c>
      <c r="C1438">
        <v>14482.97</v>
      </c>
    </row>
    <row r="1439" spans="1:3" x14ac:dyDescent="0.35">
      <c r="A1439" t="s">
        <v>322</v>
      </c>
      <c r="B1439" s="128">
        <v>43209</v>
      </c>
      <c r="C1439">
        <v>14484.7</v>
      </c>
    </row>
    <row r="1440" spans="1:3" x14ac:dyDescent="0.35">
      <c r="A1440" t="s">
        <v>322</v>
      </c>
      <c r="B1440" s="128">
        <v>43208</v>
      </c>
      <c r="C1440">
        <v>14431.07</v>
      </c>
    </row>
    <row r="1441" spans="1:3" x14ac:dyDescent="0.35">
      <c r="A1441" t="s">
        <v>322</v>
      </c>
      <c r="B1441" s="128">
        <v>43207</v>
      </c>
      <c r="C1441">
        <v>14461.97</v>
      </c>
    </row>
    <row r="1442" spans="1:3" x14ac:dyDescent="0.35">
      <c r="A1442" t="s">
        <v>322</v>
      </c>
      <c r="B1442" s="128">
        <v>43206</v>
      </c>
      <c r="C1442">
        <v>14434.05</v>
      </c>
    </row>
    <row r="1443" spans="1:3" x14ac:dyDescent="0.35">
      <c r="A1443" t="s">
        <v>322</v>
      </c>
      <c r="B1443" s="128">
        <v>43203</v>
      </c>
      <c r="C1443">
        <v>14368.56</v>
      </c>
    </row>
    <row r="1444" spans="1:3" x14ac:dyDescent="0.35">
      <c r="A1444" t="s">
        <v>322</v>
      </c>
      <c r="B1444" s="128">
        <v>43202</v>
      </c>
      <c r="C1444">
        <v>14338.46</v>
      </c>
    </row>
    <row r="1445" spans="1:3" x14ac:dyDescent="0.35">
      <c r="A1445" t="s">
        <v>322</v>
      </c>
      <c r="B1445" s="128">
        <v>43201</v>
      </c>
      <c r="C1445">
        <v>14281.6</v>
      </c>
    </row>
    <row r="1446" spans="1:3" x14ac:dyDescent="0.35">
      <c r="A1446" t="s">
        <v>322</v>
      </c>
      <c r="B1446" s="128">
        <v>43200</v>
      </c>
      <c r="C1446">
        <v>14261.15</v>
      </c>
    </row>
    <row r="1447" spans="1:3" x14ac:dyDescent="0.35">
      <c r="A1447" t="s">
        <v>322</v>
      </c>
      <c r="B1447" s="128">
        <v>43199</v>
      </c>
      <c r="C1447">
        <v>14229.77</v>
      </c>
    </row>
    <row r="1448" spans="1:3" x14ac:dyDescent="0.35">
      <c r="A1448" t="s">
        <v>322</v>
      </c>
      <c r="B1448" s="128">
        <v>43196</v>
      </c>
      <c r="C1448">
        <v>14164.28</v>
      </c>
    </row>
    <row r="1449" spans="1:3" x14ac:dyDescent="0.35">
      <c r="A1449" t="s">
        <v>322</v>
      </c>
      <c r="B1449" s="128">
        <v>43195</v>
      </c>
      <c r="C1449">
        <v>14155.47</v>
      </c>
    </row>
    <row r="1450" spans="1:3" x14ac:dyDescent="0.35">
      <c r="A1450" t="s">
        <v>322</v>
      </c>
      <c r="B1450" s="128">
        <v>43194</v>
      </c>
      <c r="C1450">
        <v>13885.72</v>
      </c>
    </row>
    <row r="1451" spans="1:3" x14ac:dyDescent="0.35">
      <c r="A1451" t="s">
        <v>322</v>
      </c>
      <c r="B1451" s="128">
        <v>43193</v>
      </c>
      <c r="C1451">
        <v>14045.55</v>
      </c>
    </row>
    <row r="1452" spans="1:3" x14ac:dyDescent="0.35">
      <c r="A1452" t="s">
        <v>322</v>
      </c>
      <c r="B1452" s="128">
        <v>43192</v>
      </c>
      <c r="C1452">
        <v>14000.07</v>
      </c>
    </row>
    <row r="1453" spans="1:3" x14ac:dyDescent="0.35">
      <c r="A1453" t="s">
        <v>322</v>
      </c>
      <c r="B1453" s="128">
        <v>43187</v>
      </c>
      <c r="C1453">
        <v>13865.57</v>
      </c>
    </row>
    <row r="1454" spans="1:3" x14ac:dyDescent="0.35">
      <c r="A1454" t="s">
        <v>322</v>
      </c>
      <c r="B1454" s="128">
        <v>43186</v>
      </c>
      <c r="C1454">
        <v>13962.15</v>
      </c>
    </row>
    <row r="1455" spans="1:3" x14ac:dyDescent="0.35">
      <c r="A1455" t="s">
        <v>322</v>
      </c>
      <c r="B1455" s="128">
        <v>43185</v>
      </c>
      <c r="C1455">
        <v>13888.82</v>
      </c>
    </row>
    <row r="1456" spans="1:3" x14ac:dyDescent="0.35">
      <c r="A1456" t="s">
        <v>322</v>
      </c>
      <c r="B1456" s="128">
        <v>43182</v>
      </c>
      <c r="C1456">
        <v>13706.99</v>
      </c>
    </row>
    <row r="1457" spans="1:3" x14ac:dyDescent="0.35">
      <c r="A1457" t="s">
        <v>322</v>
      </c>
      <c r="B1457" s="128">
        <v>43181</v>
      </c>
      <c r="C1457">
        <v>13867.01</v>
      </c>
    </row>
    <row r="1458" spans="1:3" x14ac:dyDescent="0.35">
      <c r="A1458" t="s">
        <v>322</v>
      </c>
      <c r="B1458" s="128">
        <v>43180</v>
      </c>
      <c r="C1458">
        <v>13920.51</v>
      </c>
    </row>
    <row r="1459" spans="1:3" x14ac:dyDescent="0.35">
      <c r="A1459" t="s">
        <v>322</v>
      </c>
      <c r="B1459" s="128">
        <v>43179</v>
      </c>
      <c r="C1459">
        <v>13878.17</v>
      </c>
    </row>
    <row r="1460" spans="1:3" x14ac:dyDescent="0.35">
      <c r="A1460" t="s">
        <v>322</v>
      </c>
      <c r="B1460" s="128">
        <v>43178</v>
      </c>
      <c r="C1460">
        <v>13822.99</v>
      </c>
    </row>
    <row r="1461" spans="1:3" x14ac:dyDescent="0.35">
      <c r="A1461" t="s">
        <v>322</v>
      </c>
      <c r="B1461" s="128">
        <v>43175</v>
      </c>
      <c r="C1461">
        <v>13961.14</v>
      </c>
    </row>
    <row r="1462" spans="1:3" x14ac:dyDescent="0.35">
      <c r="A1462" t="s">
        <v>322</v>
      </c>
      <c r="B1462" s="128">
        <v>43174</v>
      </c>
      <c r="C1462">
        <v>14179.36</v>
      </c>
    </row>
    <row r="1463" spans="1:3" x14ac:dyDescent="0.35">
      <c r="A1463" t="s">
        <v>322</v>
      </c>
      <c r="B1463" s="128">
        <v>43173</v>
      </c>
      <c r="C1463">
        <v>14248.81</v>
      </c>
    </row>
    <row r="1464" spans="1:3" x14ac:dyDescent="0.35">
      <c r="A1464" t="s">
        <v>322</v>
      </c>
      <c r="B1464" s="128">
        <v>43172</v>
      </c>
      <c r="C1464">
        <v>14270.64</v>
      </c>
    </row>
    <row r="1465" spans="1:3" x14ac:dyDescent="0.35">
      <c r="A1465" t="s">
        <v>322</v>
      </c>
      <c r="B1465" s="128">
        <v>43171</v>
      </c>
      <c r="C1465">
        <v>14260.92</v>
      </c>
    </row>
    <row r="1466" spans="1:3" x14ac:dyDescent="0.35">
      <c r="A1466" t="s">
        <v>322</v>
      </c>
      <c r="B1466" s="128">
        <v>43168</v>
      </c>
      <c r="C1466">
        <v>13994.68</v>
      </c>
    </row>
    <row r="1467" spans="1:3" x14ac:dyDescent="0.35">
      <c r="A1467" t="s">
        <v>322</v>
      </c>
      <c r="B1467" s="128">
        <v>43167</v>
      </c>
      <c r="C1467">
        <v>14016.3</v>
      </c>
    </row>
    <row r="1468" spans="1:3" x14ac:dyDescent="0.35">
      <c r="A1468" t="s">
        <v>322</v>
      </c>
      <c r="B1468" s="128">
        <v>43166</v>
      </c>
      <c r="C1468">
        <v>13895.27</v>
      </c>
    </row>
    <row r="1469" spans="1:3" x14ac:dyDescent="0.35">
      <c r="A1469" t="s">
        <v>322</v>
      </c>
      <c r="B1469" s="128">
        <v>43165</v>
      </c>
      <c r="C1469">
        <v>14025.34</v>
      </c>
    </row>
    <row r="1470" spans="1:3" x14ac:dyDescent="0.35">
      <c r="A1470" t="s">
        <v>322</v>
      </c>
      <c r="B1470" s="128">
        <v>43164</v>
      </c>
      <c r="C1470">
        <v>14175.32</v>
      </c>
    </row>
    <row r="1471" spans="1:3" x14ac:dyDescent="0.35">
      <c r="A1471" t="s">
        <v>322</v>
      </c>
      <c r="B1471" s="128">
        <v>43160</v>
      </c>
      <c r="C1471">
        <v>14311.52</v>
      </c>
    </row>
    <row r="1472" spans="1:3" x14ac:dyDescent="0.35">
      <c r="A1472" t="s">
        <v>322</v>
      </c>
      <c r="B1472" s="128">
        <v>43159</v>
      </c>
      <c r="C1472">
        <v>14358.71</v>
      </c>
    </row>
    <row r="1473" spans="1:3" x14ac:dyDescent="0.35">
      <c r="A1473" t="s">
        <v>322</v>
      </c>
      <c r="B1473" s="128">
        <v>43158</v>
      </c>
      <c r="C1473">
        <v>14438.9</v>
      </c>
    </row>
    <row r="1474" spans="1:3" x14ac:dyDescent="0.35">
      <c r="A1474" t="s">
        <v>322</v>
      </c>
      <c r="B1474" s="128">
        <v>43157</v>
      </c>
      <c r="C1474">
        <v>14477.62</v>
      </c>
    </row>
    <row r="1475" spans="1:3" x14ac:dyDescent="0.35">
      <c r="A1475" t="s">
        <v>322</v>
      </c>
      <c r="B1475" s="128">
        <v>43154</v>
      </c>
      <c r="C1475">
        <v>14352.4</v>
      </c>
    </row>
    <row r="1476" spans="1:3" x14ac:dyDescent="0.35">
      <c r="A1476" t="s">
        <v>322</v>
      </c>
      <c r="B1476" s="128">
        <v>43153</v>
      </c>
      <c r="C1476">
        <v>14204.17</v>
      </c>
    </row>
    <row r="1477" spans="1:3" x14ac:dyDescent="0.35">
      <c r="A1477" t="s">
        <v>322</v>
      </c>
      <c r="B1477" s="128">
        <v>43152</v>
      </c>
      <c r="C1477">
        <v>14220.48</v>
      </c>
    </row>
    <row r="1478" spans="1:3" x14ac:dyDescent="0.35">
      <c r="A1478" t="s">
        <v>322</v>
      </c>
      <c r="B1478" s="128">
        <v>43151</v>
      </c>
      <c r="C1478">
        <v>14169.77</v>
      </c>
    </row>
    <row r="1479" spans="1:3" x14ac:dyDescent="0.35">
      <c r="A1479" t="s">
        <v>322</v>
      </c>
      <c r="B1479" s="128">
        <v>43150</v>
      </c>
      <c r="C1479">
        <v>14194.28</v>
      </c>
    </row>
    <row r="1480" spans="1:3" x14ac:dyDescent="0.35">
      <c r="A1480" t="s">
        <v>322</v>
      </c>
      <c r="B1480" s="128">
        <v>43147</v>
      </c>
      <c r="C1480">
        <v>14295.41</v>
      </c>
    </row>
    <row r="1481" spans="1:3" x14ac:dyDescent="0.35">
      <c r="A1481" t="s">
        <v>322</v>
      </c>
      <c r="B1481" s="128">
        <v>43146</v>
      </c>
      <c r="C1481">
        <v>14422.85</v>
      </c>
    </row>
    <row r="1482" spans="1:3" x14ac:dyDescent="0.35">
      <c r="A1482" t="s">
        <v>322</v>
      </c>
      <c r="B1482" s="128">
        <v>43145</v>
      </c>
      <c r="C1482">
        <v>14359.35</v>
      </c>
    </row>
    <row r="1483" spans="1:3" x14ac:dyDescent="0.35">
      <c r="A1483" t="s">
        <v>322</v>
      </c>
      <c r="B1483" s="128">
        <v>43143</v>
      </c>
      <c r="C1483">
        <v>14412.46</v>
      </c>
    </row>
    <row r="1484" spans="1:3" x14ac:dyDescent="0.35">
      <c r="A1484" t="s">
        <v>322</v>
      </c>
      <c r="B1484" s="128">
        <v>43140</v>
      </c>
      <c r="C1484">
        <v>14296.5</v>
      </c>
    </row>
    <row r="1485" spans="1:3" x14ac:dyDescent="0.35">
      <c r="A1485" t="s">
        <v>322</v>
      </c>
      <c r="B1485" s="128">
        <v>43139</v>
      </c>
      <c r="C1485">
        <v>14463.16</v>
      </c>
    </row>
    <row r="1486" spans="1:3" x14ac:dyDescent="0.35">
      <c r="A1486" t="s">
        <v>322</v>
      </c>
      <c r="B1486" s="128">
        <v>43138</v>
      </c>
      <c r="C1486">
        <v>14317.57</v>
      </c>
    </row>
    <row r="1487" spans="1:3" x14ac:dyDescent="0.35">
      <c r="A1487" t="s">
        <v>322</v>
      </c>
      <c r="B1487" s="128">
        <v>43137</v>
      </c>
      <c r="C1487">
        <v>14344.02</v>
      </c>
    </row>
    <row r="1488" spans="1:3" x14ac:dyDescent="0.35">
      <c r="A1488" t="s">
        <v>322</v>
      </c>
      <c r="B1488" s="128">
        <v>43136</v>
      </c>
      <c r="C1488">
        <v>14574</v>
      </c>
    </row>
    <row r="1489" spans="1:3" x14ac:dyDescent="0.35">
      <c r="A1489" t="s">
        <v>322</v>
      </c>
      <c r="B1489" s="128">
        <v>43133</v>
      </c>
      <c r="C1489">
        <v>14702.49</v>
      </c>
    </row>
    <row r="1490" spans="1:3" x14ac:dyDescent="0.35">
      <c r="A1490" t="s">
        <v>322</v>
      </c>
      <c r="B1490" s="128">
        <v>43132</v>
      </c>
      <c r="C1490">
        <v>15052.72</v>
      </c>
    </row>
    <row r="1491" spans="1:3" x14ac:dyDescent="0.35">
      <c r="A1491" t="s">
        <v>322</v>
      </c>
      <c r="B1491" s="128">
        <v>43131</v>
      </c>
      <c r="C1491">
        <v>15065.82</v>
      </c>
    </row>
    <row r="1492" spans="1:3" x14ac:dyDescent="0.35">
      <c r="A1492" t="s">
        <v>322</v>
      </c>
      <c r="B1492" s="128">
        <v>43130</v>
      </c>
      <c r="C1492">
        <v>15095.42</v>
      </c>
    </row>
    <row r="1493" spans="1:3" x14ac:dyDescent="0.35">
      <c r="A1493" t="s">
        <v>322</v>
      </c>
      <c r="B1493" s="128">
        <v>43129</v>
      </c>
      <c r="C1493">
        <v>15204.42</v>
      </c>
    </row>
    <row r="1494" spans="1:3" x14ac:dyDescent="0.35">
      <c r="A1494" t="s">
        <v>322</v>
      </c>
      <c r="B1494" s="128">
        <v>43125</v>
      </c>
      <c r="C1494">
        <v>15121</v>
      </c>
    </row>
    <row r="1495" spans="1:3" x14ac:dyDescent="0.35">
      <c r="A1495" t="s">
        <v>322</v>
      </c>
      <c r="B1495" s="128">
        <v>43124</v>
      </c>
      <c r="C1495">
        <v>15143.35</v>
      </c>
    </row>
    <row r="1496" spans="1:3" x14ac:dyDescent="0.35">
      <c r="A1496" t="s">
        <v>322</v>
      </c>
      <c r="B1496" s="128">
        <v>43123</v>
      </c>
      <c r="C1496">
        <v>15140.24</v>
      </c>
    </row>
    <row r="1497" spans="1:3" x14ac:dyDescent="0.35">
      <c r="A1497" t="s">
        <v>322</v>
      </c>
      <c r="B1497" s="128">
        <v>43122</v>
      </c>
      <c r="C1497">
        <v>14979.72</v>
      </c>
    </row>
    <row r="1498" spans="1:3" x14ac:dyDescent="0.35">
      <c r="A1498" t="s">
        <v>322</v>
      </c>
      <c r="B1498" s="128">
        <v>43119</v>
      </c>
      <c r="C1498">
        <v>14880.8</v>
      </c>
    </row>
    <row r="1499" spans="1:3" x14ac:dyDescent="0.35">
      <c r="A1499" t="s">
        <v>322</v>
      </c>
      <c r="B1499" s="128">
        <v>43118</v>
      </c>
      <c r="C1499">
        <v>14774.67</v>
      </c>
    </row>
    <row r="1500" spans="1:3" x14ac:dyDescent="0.35">
      <c r="A1500" t="s">
        <v>322</v>
      </c>
      <c r="B1500" s="128">
        <v>43117</v>
      </c>
      <c r="C1500">
        <v>14734.07</v>
      </c>
    </row>
    <row r="1501" spans="1:3" x14ac:dyDescent="0.35">
      <c r="A1501" t="s">
        <v>322</v>
      </c>
      <c r="B1501" s="128">
        <v>43116</v>
      </c>
      <c r="C1501">
        <v>14613.79</v>
      </c>
    </row>
    <row r="1502" spans="1:3" x14ac:dyDescent="0.35">
      <c r="A1502" t="s">
        <v>322</v>
      </c>
      <c r="B1502" s="128">
        <v>43115</v>
      </c>
      <c r="C1502">
        <v>14669.9</v>
      </c>
    </row>
    <row r="1503" spans="1:3" x14ac:dyDescent="0.35">
      <c r="A1503" t="s">
        <v>322</v>
      </c>
      <c r="B1503" s="128">
        <v>43112</v>
      </c>
      <c r="C1503">
        <v>14587.54</v>
      </c>
    </row>
    <row r="1504" spans="1:3" x14ac:dyDescent="0.35">
      <c r="A1504" t="s">
        <v>322</v>
      </c>
      <c r="B1504" s="128">
        <v>43111</v>
      </c>
      <c r="C1504">
        <v>14546.49</v>
      </c>
    </row>
    <row r="1505" spans="1:3" x14ac:dyDescent="0.35">
      <c r="A1505" t="s">
        <v>322</v>
      </c>
      <c r="B1505" s="128">
        <v>43110</v>
      </c>
      <c r="C1505">
        <v>14520.56</v>
      </c>
    </row>
    <row r="1506" spans="1:3" x14ac:dyDescent="0.35">
      <c r="A1506" t="s">
        <v>322</v>
      </c>
      <c r="B1506" s="128">
        <v>43109</v>
      </c>
      <c r="C1506">
        <v>14527.15</v>
      </c>
    </row>
    <row r="1507" spans="1:3" x14ac:dyDescent="0.35">
      <c r="A1507" t="s">
        <v>322</v>
      </c>
      <c r="B1507" s="128">
        <v>43108</v>
      </c>
      <c r="C1507">
        <v>14508.81</v>
      </c>
    </row>
    <row r="1508" spans="1:3" x14ac:dyDescent="0.35">
      <c r="A1508" t="s">
        <v>322</v>
      </c>
      <c r="B1508" s="128">
        <v>43105</v>
      </c>
      <c r="C1508">
        <v>14420.42</v>
      </c>
    </row>
    <row r="1509" spans="1:3" x14ac:dyDescent="0.35">
      <c r="A1509" t="s">
        <v>322</v>
      </c>
      <c r="B1509" s="128">
        <v>43104</v>
      </c>
      <c r="C1509">
        <v>14346.59</v>
      </c>
    </row>
    <row r="1510" spans="1:3" x14ac:dyDescent="0.35">
      <c r="A1510" t="s">
        <v>322</v>
      </c>
      <c r="B1510" s="128">
        <v>43103</v>
      </c>
      <c r="C1510">
        <v>14262.48</v>
      </c>
    </row>
    <row r="1511" spans="1:3" x14ac:dyDescent="0.35">
      <c r="A1511" t="s">
        <v>322</v>
      </c>
      <c r="B1511" s="128">
        <v>43102</v>
      </c>
      <c r="C1511">
        <v>14261.1</v>
      </c>
    </row>
    <row r="1512" spans="1:3" x14ac:dyDescent="0.35">
      <c r="A1512" t="s">
        <v>322</v>
      </c>
      <c r="B1512" s="128">
        <v>43101</v>
      </c>
      <c r="C1512">
        <v>14252.02</v>
      </c>
    </row>
    <row r="1513" spans="1:3" x14ac:dyDescent="0.35">
      <c r="A1513" t="s">
        <v>322</v>
      </c>
      <c r="B1513" s="128">
        <v>43098</v>
      </c>
      <c r="C1513">
        <v>14381.92</v>
      </c>
    </row>
    <row r="1514" spans="1:3" x14ac:dyDescent="0.35">
      <c r="A1514" t="s">
        <v>322</v>
      </c>
      <c r="B1514" s="128">
        <v>43097</v>
      </c>
      <c r="C1514">
        <v>14309.85</v>
      </c>
    </row>
    <row r="1515" spans="1:3" x14ac:dyDescent="0.35">
      <c r="A1515" t="s">
        <v>322</v>
      </c>
      <c r="B1515" s="128">
        <v>43096</v>
      </c>
      <c r="C1515">
        <v>14327.42</v>
      </c>
    </row>
    <row r="1516" spans="1:3" x14ac:dyDescent="0.35">
      <c r="A1516" t="s">
        <v>322</v>
      </c>
      <c r="B1516" s="128">
        <v>43095</v>
      </c>
      <c r="C1516">
        <v>14383.04</v>
      </c>
    </row>
    <row r="1517" spans="1:3" x14ac:dyDescent="0.35">
      <c r="A1517" t="s">
        <v>322</v>
      </c>
      <c r="B1517" s="128">
        <v>43091</v>
      </c>
      <c r="C1517">
        <v>14330.49</v>
      </c>
    </row>
    <row r="1518" spans="1:3" x14ac:dyDescent="0.35">
      <c r="A1518" t="s">
        <v>322</v>
      </c>
      <c r="B1518" s="128">
        <v>43090</v>
      </c>
      <c r="C1518">
        <v>14258.49</v>
      </c>
    </row>
    <row r="1519" spans="1:3" x14ac:dyDescent="0.35">
      <c r="A1519" t="s">
        <v>322</v>
      </c>
      <c r="B1519" s="128">
        <v>43089</v>
      </c>
      <c r="C1519">
        <v>14263.81</v>
      </c>
    </row>
    <row r="1520" spans="1:3" x14ac:dyDescent="0.35">
      <c r="A1520" t="s">
        <v>322</v>
      </c>
      <c r="B1520" s="128">
        <v>43088</v>
      </c>
      <c r="C1520">
        <v>14289.76</v>
      </c>
    </row>
    <row r="1521" spans="1:3" x14ac:dyDescent="0.35">
      <c r="A1521" t="s">
        <v>322</v>
      </c>
      <c r="B1521" s="128">
        <v>43087</v>
      </c>
      <c r="C1521">
        <v>14188.11</v>
      </c>
    </row>
    <row r="1522" spans="1:3" x14ac:dyDescent="0.35">
      <c r="A1522" t="s">
        <v>322</v>
      </c>
      <c r="B1522" s="128">
        <v>43084</v>
      </c>
      <c r="C1522">
        <v>14112.3</v>
      </c>
    </row>
    <row r="1523" spans="1:3" x14ac:dyDescent="0.35">
      <c r="A1523" t="s">
        <v>322</v>
      </c>
      <c r="B1523" s="128">
        <v>43083</v>
      </c>
      <c r="C1523">
        <v>14001.49</v>
      </c>
    </row>
    <row r="1524" spans="1:3" x14ac:dyDescent="0.35">
      <c r="A1524" t="s">
        <v>322</v>
      </c>
      <c r="B1524" s="128">
        <v>43082</v>
      </c>
      <c r="C1524">
        <v>13920.69</v>
      </c>
    </row>
    <row r="1525" spans="1:3" x14ac:dyDescent="0.35">
      <c r="A1525" t="s">
        <v>322</v>
      </c>
      <c r="B1525" s="128">
        <v>43081</v>
      </c>
      <c r="C1525">
        <v>13985.11</v>
      </c>
    </row>
    <row r="1526" spans="1:3" x14ac:dyDescent="0.35">
      <c r="A1526" t="s">
        <v>322</v>
      </c>
      <c r="B1526" s="128">
        <v>43080</v>
      </c>
      <c r="C1526">
        <v>14097.29</v>
      </c>
    </row>
    <row r="1527" spans="1:3" x14ac:dyDescent="0.35">
      <c r="A1527" t="s">
        <v>322</v>
      </c>
      <c r="B1527" s="128">
        <v>43077</v>
      </c>
      <c r="C1527">
        <v>14019.95</v>
      </c>
    </row>
    <row r="1528" spans="1:3" x14ac:dyDescent="0.35">
      <c r="A1528" t="s">
        <v>322</v>
      </c>
      <c r="B1528" s="128">
        <v>43076</v>
      </c>
      <c r="C1528">
        <v>13884.82</v>
      </c>
    </row>
    <row r="1529" spans="1:3" x14ac:dyDescent="0.35">
      <c r="A1529" t="s">
        <v>322</v>
      </c>
      <c r="B1529" s="128">
        <v>43075</v>
      </c>
      <c r="C1529">
        <v>13717.36</v>
      </c>
    </row>
    <row r="1530" spans="1:3" x14ac:dyDescent="0.35">
      <c r="A1530" t="s">
        <v>322</v>
      </c>
      <c r="B1530" s="128">
        <v>43074</v>
      </c>
      <c r="C1530">
        <v>13818.67</v>
      </c>
    </row>
    <row r="1531" spans="1:3" x14ac:dyDescent="0.35">
      <c r="A1531" t="s">
        <v>322</v>
      </c>
      <c r="B1531" s="128">
        <v>43073</v>
      </c>
      <c r="C1531">
        <v>13831.66</v>
      </c>
    </row>
    <row r="1532" spans="1:3" x14ac:dyDescent="0.35">
      <c r="A1532" t="s">
        <v>322</v>
      </c>
      <c r="B1532" s="128">
        <v>43070</v>
      </c>
      <c r="C1532">
        <v>13823.52</v>
      </c>
    </row>
    <row r="1533" spans="1:3" x14ac:dyDescent="0.35">
      <c r="A1533" t="s">
        <v>322</v>
      </c>
      <c r="B1533" s="128">
        <v>43069</v>
      </c>
      <c r="C1533">
        <v>13966.58</v>
      </c>
    </row>
    <row r="1534" spans="1:3" x14ac:dyDescent="0.35">
      <c r="A1534" t="s">
        <v>322</v>
      </c>
      <c r="B1534" s="128">
        <v>43068</v>
      </c>
      <c r="C1534">
        <v>14150.6</v>
      </c>
    </row>
    <row r="1535" spans="1:3" x14ac:dyDescent="0.35">
      <c r="A1535" t="s">
        <v>322</v>
      </c>
      <c r="B1535" s="128">
        <v>43067</v>
      </c>
      <c r="C1535">
        <v>14162.79</v>
      </c>
    </row>
    <row r="1536" spans="1:3" x14ac:dyDescent="0.35">
      <c r="A1536" t="s">
        <v>322</v>
      </c>
      <c r="B1536" s="128">
        <v>43066</v>
      </c>
      <c r="C1536">
        <v>14202.82</v>
      </c>
    </row>
    <row r="1537" spans="1:3" x14ac:dyDescent="0.35">
      <c r="A1537" t="s">
        <v>322</v>
      </c>
      <c r="B1537" s="128">
        <v>43063</v>
      </c>
      <c r="C1537">
        <v>14189.41</v>
      </c>
    </row>
    <row r="1538" spans="1:3" x14ac:dyDescent="0.35">
      <c r="A1538" t="s">
        <v>322</v>
      </c>
      <c r="B1538" s="128">
        <v>43062</v>
      </c>
      <c r="C1538">
        <v>14133.47</v>
      </c>
    </row>
    <row r="1539" spans="1:3" x14ac:dyDescent="0.35">
      <c r="A1539" t="s">
        <v>322</v>
      </c>
      <c r="B1539" s="128">
        <v>43061</v>
      </c>
      <c r="C1539">
        <v>14124.68</v>
      </c>
    </row>
    <row r="1540" spans="1:3" x14ac:dyDescent="0.35">
      <c r="A1540" t="s">
        <v>322</v>
      </c>
      <c r="B1540" s="128">
        <v>43060</v>
      </c>
      <c r="C1540">
        <v>14103.64</v>
      </c>
    </row>
    <row r="1541" spans="1:3" x14ac:dyDescent="0.35">
      <c r="A1541" t="s">
        <v>322</v>
      </c>
      <c r="B1541" s="128">
        <v>43059</v>
      </c>
      <c r="C1541">
        <v>14065.05</v>
      </c>
    </row>
    <row r="1542" spans="1:3" x14ac:dyDescent="0.35">
      <c r="A1542" t="s">
        <v>322</v>
      </c>
      <c r="B1542" s="128">
        <v>43056</v>
      </c>
      <c r="C1542">
        <v>14044.32</v>
      </c>
    </row>
    <row r="1543" spans="1:3" x14ac:dyDescent="0.35">
      <c r="A1543" t="s">
        <v>322</v>
      </c>
      <c r="B1543" s="128">
        <v>43055</v>
      </c>
      <c r="C1543">
        <v>13950.33</v>
      </c>
    </row>
    <row r="1544" spans="1:3" x14ac:dyDescent="0.35">
      <c r="A1544" t="s">
        <v>322</v>
      </c>
      <c r="B1544" s="128">
        <v>43054</v>
      </c>
      <c r="C1544">
        <v>13818.25</v>
      </c>
    </row>
    <row r="1545" spans="1:3" x14ac:dyDescent="0.35">
      <c r="A1545" t="s">
        <v>322</v>
      </c>
      <c r="B1545" s="128">
        <v>43053</v>
      </c>
      <c r="C1545">
        <v>13911.87</v>
      </c>
    </row>
    <row r="1546" spans="1:3" x14ac:dyDescent="0.35">
      <c r="A1546" t="s">
        <v>322</v>
      </c>
      <c r="B1546" s="128">
        <v>43052</v>
      </c>
      <c r="C1546">
        <v>13964.26</v>
      </c>
    </row>
    <row r="1547" spans="1:3" x14ac:dyDescent="0.35">
      <c r="A1547" t="s">
        <v>322</v>
      </c>
      <c r="B1547" s="128">
        <v>43049</v>
      </c>
      <c r="C1547">
        <v>14096.45</v>
      </c>
    </row>
    <row r="1548" spans="1:3" x14ac:dyDescent="0.35">
      <c r="A1548" t="s">
        <v>322</v>
      </c>
      <c r="B1548" s="128">
        <v>43048</v>
      </c>
      <c r="C1548">
        <v>14078.98</v>
      </c>
    </row>
    <row r="1549" spans="1:3" x14ac:dyDescent="0.35">
      <c r="A1549" t="s">
        <v>322</v>
      </c>
      <c r="B1549" s="128">
        <v>43047</v>
      </c>
      <c r="C1549">
        <v>14071.02</v>
      </c>
    </row>
    <row r="1550" spans="1:3" x14ac:dyDescent="0.35">
      <c r="A1550" t="s">
        <v>322</v>
      </c>
      <c r="B1550" s="128">
        <v>43046</v>
      </c>
      <c r="C1550">
        <v>14135.23</v>
      </c>
    </row>
    <row r="1551" spans="1:3" x14ac:dyDescent="0.35">
      <c r="A1551" t="s">
        <v>322</v>
      </c>
      <c r="B1551" s="128">
        <v>43045</v>
      </c>
      <c r="C1551">
        <v>14274.03</v>
      </c>
    </row>
    <row r="1552" spans="1:3" x14ac:dyDescent="0.35">
      <c r="A1552" t="s">
        <v>322</v>
      </c>
      <c r="B1552" s="128">
        <v>43042</v>
      </c>
      <c r="C1552">
        <v>14274.97</v>
      </c>
    </row>
    <row r="1553" spans="1:3" x14ac:dyDescent="0.35">
      <c r="A1553" t="s">
        <v>322</v>
      </c>
      <c r="B1553" s="128">
        <v>43041</v>
      </c>
      <c r="C1553">
        <v>14232.79</v>
      </c>
    </row>
    <row r="1554" spans="1:3" x14ac:dyDescent="0.35">
      <c r="A1554" t="s">
        <v>322</v>
      </c>
      <c r="B1554" s="128">
        <v>43040</v>
      </c>
      <c r="C1554">
        <v>14255.58</v>
      </c>
    </row>
    <row r="1555" spans="1:3" x14ac:dyDescent="0.35">
      <c r="A1555" t="s">
        <v>322</v>
      </c>
      <c r="B1555" s="128">
        <v>43039</v>
      </c>
      <c r="C1555">
        <v>14108.55</v>
      </c>
    </row>
    <row r="1556" spans="1:3" x14ac:dyDescent="0.35">
      <c r="A1556" t="s">
        <v>322</v>
      </c>
      <c r="B1556" s="128">
        <v>43038</v>
      </c>
      <c r="C1556">
        <v>14137.62</v>
      </c>
    </row>
    <row r="1557" spans="1:3" x14ac:dyDescent="0.35">
      <c r="A1557" t="s">
        <v>322</v>
      </c>
      <c r="B1557" s="128">
        <v>43035</v>
      </c>
      <c r="C1557">
        <v>14082.21</v>
      </c>
    </row>
    <row r="1558" spans="1:3" x14ac:dyDescent="0.35">
      <c r="A1558" t="s">
        <v>322</v>
      </c>
      <c r="B1558" s="128">
        <v>43034</v>
      </c>
      <c r="C1558">
        <v>14110.5</v>
      </c>
    </row>
    <row r="1559" spans="1:3" x14ac:dyDescent="0.35">
      <c r="A1559" t="s">
        <v>322</v>
      </c>
      <c r="B1559" s="128">
        <v>43033</v>
      </c>
      <c r="C1559">
        <v>14044.44</v>
      </c>
    </row>
    <row r="1560" spans="1:3" x14ac:dyDescent="0.35">
      <c r="A1560" t="s">
        <v>322</v>
      </c>
      <c r="B1560" s="128">
        <v>43032</v>
      </c>
      <c r="C1560">
        <v>13923.61</v>
      </c>
    </row>
    <row r="1561" spans="1:3" x14ac:dyDescent="0.35">
      <c r="A1561" t="s">
        <v>322</v>
      </c>
      <c r="B1561" s="128">
        <v>43031</v>
      </c>
      <c r="C1561">
        <v>13892.48</v>
      </c>
    </row>
    <row r="1562" spans="1:3" x14ac:dyDescent="0.35">
      <c r="A1562" t="s">
        <v>322</v>
      </c>
      <c r="B1562" s="128">
        <v>43027</v>
      </c>
      <c r="C1562">
        <v>13840.24</v>
      </c>
    </row>
    <row r="1563" spans="1:3" x14ac:dyDescent="0.35">
      <c r="A1563" t="s">
        <v>322</v>
      </c>
      <c r="B1563" s="128">
        <v>43026</v>
      </c>
      <c r="C1563">
        <v>13927.92</v>
      </c>
    </row>
    <row r="1564" spans="1:3" x14ac:dyDescent="0.35">
      <c r="A1564" t="s">
        <v>322</v>
      </c>
      <c r="B1564" s="128">
        <v>43025</v>
      </c>
      <c r="C1564">
        <v>13960.09</v>
      </c>
    </row>
    <row r="1565" spans="1:3" x14ac:dyDescent="0.35">
      <c r="A1565" t="s">
        <v>322</v>
      </c>
      <c r="B1565" s="128">
        <v>43024</v>
      </c>
      <c r="C1565">
        <v>13955.22</v>
      </c>
    </row>
    <row r="1566" spans="1:3" x14ac:dyDescent="0.35">
      <c r="A1566" t="s">
        <v>322</v>
      </c>
      <c r="B1566" s="128">
        <v>43021</v>
      </c>
      <c r="C1566">
        <v>13868.7</v>
      </c>
    </row>
    <row r="1567" spans="1:3" x14ac:dyDescent="0.35">
      <c r="A1567" t="s">
        <v>322</v>
      </c>
      <c r="B1567" s="128">
        <v>43020</v>
      </c>
      <c r="C1567">
        <v>13771.84</v>
      </c>
    </row>
    <row r="1568" spans="1:3" x14ac:dyDescent="0.35">
      <c r="A1568" t="s">
        <v>322</v>
      </c>
      <c r="B1568" s="128">
        <v>43019</v>
      </c>
      <c r="C1568">
        <v>13619.62</v>
      </c>
    </row>
    <row r="1569" spans="1:3" x14ac:dyDescent="0.35">
      <c r="A1569" t="s">
        <v>322</v>
      </c>
      <c r="B1569" s="128">
        <v>43018</v>
      </c>
      <c r="C1569">
        <v>13663.44</v>
      </c>
    </row>
    <row r="1570" spans="1:3" x14ac:dyDescent="0.35">
      <c r="A1570" t="s">
        <v>322</v>
      </c>
      <c r="B1570" s="128">
        <v>43017</v>
      </c>
      <c r="C1570">
        <v>13625</v>
      </c>
    </row>
    <row r="1571" spans="1:3" x14ac:dyDescent="0.35">
      <c r="A1571" t="s">
        <v>322</v>
      </c>
      <c r="B1571" s="128">
        <v>43014</v>
      </c>
      <c r="C1571">
        <v>13612.63</v>
      </c>
    </row>
    <row r="1572" spans="1:3" x14ac:dyDescent="0.35">
      <c r="A1572" t="s">
        <v>322</v>
      </c>
      <c r="B1572" s="128">
        <v>43013</v>
      </c>
      <c r="C1572">
        <v>13488.48</v>
      </c>
    </row>
    <row r="1573" spans="1:3" x14ac:dyDescent="0.35">
      <c r="A1573" t="s">
        <v>322</v>
      </c>
      <c r="B1573" s="128">
        <v>43012</v>
      </c>
      <c r="C1573">
        <v>13524.27</v>
      </c>
    </row>
    <row r="1574" spans="1:3" x14ac:dyDescent="0.35">
      <c r="A1574" t="s">
        <v>322</v>
      </c>
      <c r="B1574" s="128">
        <v>43011</v>
      </c>
      <c r="C1574">
        <v>13448.66</v>
      </c>
    </row>
    <row r="1575" spans="1:3" x14ac:dyDescent="0.35">
      <c r="A1575" t="s">
        <v>322</v>
      </c>
      <c r="B1575" s="128">
        <v>43007</v>
      </c>
      <c r="C1575">
        <v>13351.99</v>
      </c>
    </row>
    <row r="1576" spans="1:3" x14ac:dyDescent="0.35">
      <c r="A1576" t="s">
        <v>322</v>
      </c>
      <c r="B1576" s="128">
        <v>43006</v>
      </c>
      <c r="C1576">
        <v>13325.16</v>
      </c>
    </row>
    <row r="1577" spans="1:3" x14ac:dyDescent="0.35">
      <c r="A1577" t="s">
        <v>322</v>
      </c>
      <c r="B1577" s="128">
        <v>43005</v>
      </c>
      <c r="C1577">
        <v>13279.85</v>
      </c>
    </row>
    <row r="1578" spans="1:3" x14ac:dyDescent="0.35">
      <c r="A1578" t="s">
        <v>322</v>
      </c>
      <c r="B1578" s="128">
        <v>43004</v>
      </c>
      <c r="C1578">
        <v>13465.07</v>
      </c>
    </row>
    <row r="1579" spans="1:3" x14ac:dyDescent="0.35">
      <c r="A1579" t="s">
        <v>322</v>
      </c>
      <c r="B1579" s="128">
        <v>43003</v>
      </c>
      <c r="C1579">
        <v>13466.53</v>
      </c>
    </row>
    <row r="1580" spans="1:3" x14ac:dyDescent="0.35">
      <c r="A1580" t="s">
        <v>322</v>
      </c>
      <c r="B1580" s="128">
        <v>43000</v>
      </c>
      <c r="C1580">
        <v>13591.79</v>
      </c>
    </row>
    <row r="1581" spans="1:3" x14ac:dyDescent="0.35">
      <c r="A1581" t="s">
        <v>322</v>
      </c>
      <c r="B1581" s="128">
        <v>42999</v>
      </c>
      <c r="C1581">
        <v>13806.6</v>
      </c>
    </row>
    <row r="1582" spans="1:3" x14ac:dyDescent="0.35">
      <c r="A1582" t="s">
        <v>322</v>
      </c>
      <c r="B1582" s="128">
        <v>42998</v>
      </c>
      <c r="C1582">
        <v>13832.04</v>
      </c>
    </row>
    <row r="1583" spans="1:3" x14ac:dyDescent="0.35">
      <c r="A1583" t="s">
        <v>322</v>
      </c>
      <c r="B1583" s="128">
        <v>42997</v>
      </c>
      <c r="C1583">
        <v>13840.78</v>
      </c>
    </row>
    <row r="1584" spans="1:3" x14ac:dyDescent="0.35">
      <c r="A1584" t="s">
        <v>322</v>
      </c>
      <c r="B1584" s="128">
        <v>42996</v>
      </c>
      <c r="C1584">
        <v>13848.34</v>
      </c>
    </row>
    <row r="1585" spans="1:3" x14ac:dyDescent="0.35">
      <c r="A1585" t="s">
        <v>322</v>
      </c>
      <c r="B1585" s="128">
        <v>42993</v>
      </c>
      <c r="C1585">
        <v>13754.62</v>
      </c>
    </row>
    <row r="1586" spans="1:3" x14ac:dyDescent="0.35">
      <c r="A1586" t="s">
        <v>322</v>
      </c>
      <c r="B1586" s="128">
        <v>42992</v>
      </c>
      <c r="C1586">
        <v>13756.28</v>
      </c>
    </row>
    <row r="1587" spans="1:3" x14ac:dyDescent="0.35">
      <c r="A1587" t="s">
        <v>322</v>
      </c>
      <c r="B1587" s="128">
        <v>42991</v>
      </c>
      <c r="C1587">
        <v>13746.3</v>
      </c>
    </row>
    <row r="1588" spans="1:3" x14ac:dyDescent="0.35">
      <c r="A1588" t="s">
        <v>322</v>
      </c>
      <c r="B1588" s="128">
        <v>42990</v>
      </c>
      <c r="C1588">
        <v>13765.03</v>
      </c>
    </row>
    <row r="1589" spans="1:3" x14ac:dyDescent="0.35">
      <c r="A1589" t="s">
        <v>322</v>
      </c>
      <c r="B1589" s="128">
        <v>42989</v>
      </c>
      <c r="C1589">
        <v>13646.37</v>
      </c>
    </row>
    <row r="1590" spans="1:3" x14ac:dyDescent="0.35">
      <c r="A1590" t="s">
        <v>322</v>
      </c>
      <c r="B1590" s="128">
        <v>42986</v>
      </c>
      <c r="C1590">
        <v>13546.57</v>
      </c>
    </row>
    <row r="1591" spans="1:3" x14ac:dyDescent="0.35">
      <c r="A1591" t="s">
        <v>322</v>
      </c>
      <c r="B1591" s="128">
        <v>42985</v>
      </c>
      <c r="C1591">
        <v>13539.91</v>
      </c>
    </row>
    <row r="1592" spans="1:3" x14ac:dyDescent="0.35">
      <c r="A1592" t="s">
        <v>322</v>
      </c>
      <c r="B1592" s="128">
        <v>42984</v>
      </c>
      <c r="C1592">
        <v>13519.3</v>
      </c>
    </row>
    <row r="1593" spans="1:3" x14ac:dyDescent="0.35">
      <c r="A1593" t="s">
        <v>322</v>
      </c>
      <c r="B1593" s="128">
        <v>42983</v>
      </c>
      <c r="C1593">
        <v>13568.38</v>
      </c>
    </row>
    <row r="1594" spans="1:3" x14ac:dyDescent="0.35">
      <c r="A1594" t="s">
        <v>322</v>
      </c>
      <c r="B1594" s="128">
        <v>42982</v>
      </c>
      <c r="C1594">
        <v>13514.16</v>
      </c>
    </row>
    <row r="1595" spans="1:3" x14ac:dyDescent="0.35">
      <c r="A1595" t="s">
        <v>322</v>
      </c>
      <c r="B1595" s="128">
        <v>42979</v>
      </c>
      <c r="C1595">
        <v>13598.09</v>
      </c>
    </row>
    <row r="1596" spans="1:3" x14ac:dyDescent="0.35">
      <c r="A1596" t="s">
        <v>322</v>
      </c>
      <c r="B1596" s="128">
        <v>42978</v>
      </c>
      <c r="C1596">
        <v>13521.03</v>
      </c>
    </row>
    <row r="1597" spans="1:3" x14ac:dyDescent="0.35">
      <c r="A1597" t="s">
        <v>322</v>
      </c>
      <c r="B1597" s="128">
        <v>42977</v>
      </c>
      <c r="C1597">
        <v>13474.73</v>
      </c>
    </row>
    <row r="1598" spans="1:3" x14ac:dyDescent="0.35">
      <c r="A1598" t="s">
        <v>322</v>
      </c>
      <c r="B1598" s="128">
        <v>42976</v>
      </c>
      <c r="C1598">
        <v>13354.29</v>
      </c>
    </row>
    <row r="1599" spans="1:3" x14ac:dyDescent="0.35">
      <c r="A1599" t="s">
        <v>322</v>
      </c>
      <c r="B1599" s="128">
        <v>42975</v>
      </c>
      <c r="C1599">
        <v>13513.48</v>
      </c>
    </row>
    <row r="1600" spans="1:3" x14ac:dyDescent="0.35">
      <c r="A1600" t="s">
        <v>322</v>
      </c>
      <c r="B1600" s="128">
        <v>42971</v>
      </c>
      <c r="C1600">
        <v>13437.45</v>
      </c>
    </row>
    <row r="1601" spans="1:3" x14ac:dyDescent="0.35">
      <c r="A1601" t="s">
        <v>322</v>
      </c>
      <c r="B1601" s="128">
        <v>42970</v>
      </c>
      <c r="C1601">
        <v>13427.67</v>
      </c>
    </row>
    <row r="1602" spans="1:3" x14ac:dyDescent="0.35">
      <c r="A1602" t="s">
        <v>322</v>
      </c>
      <c r="B1602" s="128">
        <v>42969</v>
      </c>
      <c r="C1602">
        <v>13309.14</v>
      </c>
    </row>
    <row r="1603" spans="1:3" x14ac:dyDescent="0.35">
      <c r="A1603" t="s">
        <v>322</v>
      </c>
      <c r="B1603" s="128">
        <v>42968</v>
      </c>
      <c r="C1603">
        <v>13293.88</v>
      </c>
    </row>
    <row r="1604" spans="1:3" x14ac:dyDescent="0.35">
      <c r="A1604" t="s">
        <v>322</v>
      </c>
      <c r="B1604" s="128">
        <v>42965</v>
      </c>
      <c r="C1604">
        <v>13407.07</v>
      </c>
    </row>
    <row r="1605" spans="1:3" x14ac:dyDescent="0.35">
      <c r="A1605" t="s">
        <v>322</v>
      </c>
      <c r="B1605" s="128">
        <v>42964</v>
      </c>
      <c r="C1605">
        <v>13497.69</v>
      </c>
    </row>
    <row r="1606" spans="1:3" x14ac:dyDescent="0.35">
      <c r="A1606" t="s">
        <v>322</v>
      </c>
      <c r="B1606" s="128">
        <v>42963</v>
      </c>
      <c r="C1606">
        <v>13488.33</v>
      </c>
    </row>
    <row r="1607" spans="1:3" x14ac:dyDescent="0.35">
      <c r="A1607" t="s">
        <v>322</v>
      </c>
      <c r="B1607" s="128">
        <v>42961</v>
      </c>
      <c r="C1607">
        <v>13347.75</v>
      </c>
    </row>
    <row r="1608" spans="1:3" x14ac:dyDescent="0.35">
      <c r="A1608" t="s">
        <v>322</v>
      </c>
      <c r="B1608" s="128">
        <v>42958</v>
      </c>
      <c r="C1608">
        <v>13234.2</v>
      </c>
    </row>
    <row r="1609" spans="1:3" x14ac:dyDescent="0.35">
      <c r="A1609" t="s">
        <v>322</v>
      </c>
      <c r="B1609" s="128">
        <v>42957</v>
      </c>
      <c r="C1609">
        <v>13377.05</v>
      </c>
    </row>
    <row r="1610" spans="1:3" x14ac:dyDescent="0.35">
      <c r="A1610" t="s">
        <v>322</v>
      </c>
      <c r="B1610" s="128">
        <v>42956</v>
      </c>
      <c r="C1610">
        <v>13495.81</v>
      </c>
    </row>
    <row r="1611" spans="1:3" x14ac:dyDescent="0.35">
      <c r="A1611" t="s">
        <v>322</v>
      </c>
      <c r="B1611" s="128">
        <v>42955</v>
      </c>
      <c r="C1611">
        <v>13591.81</v>
      </c>
    </row>
    <row r="1612" spans="1:3" x14ac:dyDescent="0.35">
      <c r="A1612" t="s">
        <v>322</v>
      </c>
      <c r="B1612" s="128">
        <v>42954</v>
      </c>
      <c r="C1612">
        <v>13699.21</v>
      </c>
    </row>
    <row r="1613" spans="1:3" x14ac:dyDescent="0.35">
      <c r="A1613" t="s">
        <v>322</v>
      </c>
      <c r="B1613" s="128">
        <v>42951</v>
      </c>
      <c r="C1613">
        <v>13711.47</v>
      </c>
    </row>
    <row r="1614" spans="1:3" x14ac:dyDescent="0.35">
      <c r="A1614" t="s">
        <v>322</v>
      </c>
      <c r="B1614" s="128">
        <v>42950</v>
      </c>
      <c r="C1614">
        <v>13639.66</v>
      </c>
    </row>
    <row r="1615" spans="1:3" x14ac:dyDescent="0.35">
      <c r="A1615" t="s">
        <v>322</v>
      </c>
      <c r="B1615" s="128">
        <v>42949</v>
      </c>
      <c r="C1615">
        <v>13731.63</v>
      </c>
    </row>
    <row r="1616" spans="1:3" x14ac:dyDescent="0.35">
      <c r="A1616" t="s">
        <v>322</v>
      </c>
      <c r="B1616" s="128">
        <v>42948</v>
      </c>
      <c r="C1616">
        <v>13775.33</v>
      </c>
    </row>
    <row r="1617" spans="1:3" x14ac:dyDescent="0.35">
      <c r="A1617" t="s">
        <v>322</v>
      </c>
      <c r="B1617" s="128">
        <v>42947</v>
      </c>
      <c r="C1617">
        <v>13724.19</v>
      </c>
    </row>
    <row r="1618" spans="1:3" x14ac:dyDescent="0.35">
      <c r="A1618" t="s">
        <v>322</v>
      </c>
      <c r="B1618" s="128">
        <v>42944</v>
      </c>
      <c r="C1618">
        <v>13638.1</v>
      </c>
    </row>
    <row r="1619" spans="1:3" x14ac:dyDescent="0.35">
      <c r="A1619" t="s">
        <v>322</v>
      </c>
      <c r="B1619" s="128">
        <v>42943</v>
      </c>
      <c r="C1619">
        <v>13646.34</v>
      </c>
    </row>
    <row r="1620" spans="1:3" x14ac:dyDescent="0.35">
      <c r="A1620" t="s">
        <v>322</v>
      </c>
      <c r="B1620" s="128">
        <v>42942</v>
      </c>
      <c r="C1620">
        <v>13644.46</v>
      </c>
    </row>
    <row r="1621" spans="1:3" x14ac:dyDescent="0.35">
      <c r="A1621" t="s">
        <v>322</v>
      </c>
      <c r="B1621" s="128">
        <v>42941</v>
      </c>
      <c r="C1621">
        <v>13567.66</v>
      </c>
    </row>
    <row r="1622" spans="1:3" x14ac:dyDescent="0.35">
      <c r="A1622" t="s">
        <v>322</v>
      </c>
      <c r="B1622" s="128">
        <v>42940</v>
      </c>
      <c r="C1622">
        <v>13569.88</v>
      </c>
    </row>
    <row r="1623" spans="1:3" x14ac:dyDescent="0.35">
      <c r="A1623" t="s">
        <v>322</v>
      </c>
      <c r="B1623" s="128">
        <v>42937</v>
      </c>
      <c r="C1623">
        <v>13498.25</v>
      </c>
    </row>
    <row r="1624" spans="1:3" x14ac:dyDescent="0.35">
      <c r="A1624" t="s">
        <v>322</v>
      </c>
      <c r="B1624" s="128">
        <v>42936</v>
      </c>
      <c r="C1624">
        <v>13441.11</v>
      </c>
    </row>
    <row r="1625" spans="1:3" x14ac:dyDescent="0.35">
      <c r="A1625" t="s">
        <v>322</v>
      </c>
      <c r="B1625" s="128">
        <v>42935</v>
      </c>
      <c r="C1625">
        <v>13473.52</v>
      </c>
    </row>
    <row r="1626" spans="1:3" x14ac:dyDescent="0.35">
      <c r="A1626" t="s">
        <v>322</v>
      </c>
      <c r="B1626" s="128">
        <v>42934</v>
      </c>
      <c r="C1626">
        <v>13374.92</v>
      </c>
    </row>
    <row r="1627" spans="1:3" x14ac:dyDescent="0.35">
      <c r="A1627" t="s">
        <v>322</v>
      </c>
      <c r="B1627" s="128">
        <v>42933</v>
      </c>
      <c r="C1627">
        <v>13494.64</v>
      </c>
    </row>
    <row r="1628" spans="1:3" x14ac:dyDescent="0.35">
      <c r="A1628" t="s">
        <v>322</v>
      </c>
      <c r="B1628" s="128">
        <v>42930</v>
      </c>
      <c r="C1628">
        <v>13453.49</v>
      </c>
    </row>
    <row r="1629" spans="1:3" x14ac:dyDescent="0.35">
      <c r="A1629" t="s">
        <v>322</v>
      </c>
      <c r="B1629" s="128">
        <v>42929</v>
      </c>
      <c r="C1629">
        <v>13452.22</v>
      </c>
    </row>
    <row r="1630" spans="1:3" x14ac:dyDescent="0.35">
      <c r="A1630" t="s">
        <v>322</v>
      </c>
      <c r="B1630" s="128">
        <v>42928</v>
      </c>
      <c r="C1630">
        <v>13340.24</v>
      </c>
    </row>
    <row r="1631" spans="1:3" x14ac:dyDescent="0.35">
      <c r="A1631" t="s">
        <v>322</v>
      </c>
      <c r="B1631" s="128">
        <v>42927</v>
      </c>
      <c r="C1631">
        <v>13299.17</v>
      </c>
    </row>
    <row r="1632" spans="1:3" x14ac:dyDescent="0.35">
      <c r="A1632" t="s">
        <v>322</v>
      </c>
      <c r="B1632" s="128">
        <v>42926</v>
      </c>
      <c r="C1632">
        <v>13278.81</v>
      </c>
    </row>
    <row r="1633" spans="1:3" x14ac:dyDescent="0.35">
      <c r="A1633" t="s">
        <v>322</v>
      </c>
      <c r="B1633" s="128">
        <v>42923</v>
      </c>
      <c r="C1633">
        <v>13135.35</v>
      </c>
    </row>
    <row r="1634" spans="1:3" x14ac:dyDescent="0.35">
      <c r="A1634" t="s">
        <v>322</v>
      </c>
      <c r="B1634" s="128">
        <v>42922</v>
      </c>
      <c r="C1634">
        <v>13147.27</v>
      </c>
    </row>
    <row r="1635" spans="1:3" x14ac:dyDescent="0.35">
      <c r="A1635" t="s">
        <v>322</v>
      </c>
      <c r="B1635" s="128">
        <v>42921</v>
      </c>
      <c r="C1635">
        <v>13091.36</v>
      </c>
    </row>
    <row r="1636" spans="1:3" x14ac:dyDescent="0.35">
      <c r="A1636" t="s">
        <v>322</v>
      </c>
      <c r="B1636" s="128">
        <v>42920</v>
      </c>
      <c r="C1636">
        <v>13057.86</v>
      </c>
    </row>
    <row r="1637" spans="1:3" x14ac:dyDescent="0.35">
      <c r="A1637" t="s">
        <v>322</v>
      </c>
      <c r="B1637" s="128">
        <v>42919</v>
      </c>
      <c r="C1637">
        <v>13060.15</v>
      </c>
    </row>
    <row r="1638" spans="1:3" x14ac:dyDescent="0.35">
      <c r="A1638" t="s">
        <v>322</v>
      </c>
      <c r="B1638" s="128">
        <v>42916</v>
      </c>
      <c r="C1638">
        <v>12932.33</v>
      </c>
    </row>
    <row r="1639" spans="1:3" x14ac:dyDescent="0.35">
      <c r="A1639" t="s">
        <v>322</v>
      </c>
      <c r="B1639" s="128">
        <v>42915</v>
      </c>
      <c r="C1639">
        <v>12908.13</v>
      </c>
    </row>
    <row r="1640" spans="1:3" x14ac:dyDescent="0.35">
      <c r="A1640" t="s">
        <v>322</v>
      </c>
      <c r="B1640" s="128">
        <v>42914</v>
      </c>
      <c r="C1640">
        <v>12882.7</v>
      </c>
    </row>
    <row r="1641" spans="1:3" x14ac:dyDescent="0.35">
      <c r="A1641" t="s">
        <v>322</v>
      </c>
      <c r="B1641" s="128">
        <v>42913</v>
      </c>
      <c r="C1641">
        <v>12910.01</v>
      </c>
    </row>
    <row r="1642" spans="1:3" x14ac:dyDescent="0.35">
      <c r="A1642" t="s">
        <v>322</v>
      </c>
      <c r="B1642" s="128">
        <v>42909</v>
      </c>
      <c r="C1642">
        <v>12996.3</v>
      </c>
    </row>
    <row r="1643" spans="1:3" x14ac:dyDescent="0.35">
      <c r="A1643" t="s">
        <v>322</v>
      </c>
      <c r="B1643" s="128">
        <v>42908</v>
      </c>
      <c r="C1643">
        <v>13070.98</v>
      </c>
    </row>
    <row r="1644" spans="1:3" x14ac:dyDescent="0.35">
      <c r="A1644" t="s">
        <v>322</v>
      </c>
      <c r="B1644" s="128">
        <v>42907</v>
      </c>
      <c r="C1644">
        <v>13072.91</v>
      </c>
    </row>
    <row r="1645" spans="1:3" x14ac:dyDescent="0.35">
      <c r="A1645" t="s">
        <v>322</v>
      </c>
      <c r="B1645" s="128">
        <v>42906</v>
      </c>
      <c r="C1645">
        <v>13099.92</v>
      </c>
    </row>
    <row r="1646" spans="1:3" x14ac:dyDescent="0.35">
      <c r="A1646" t="s">
        <v>322</v>
      </c>
      <c r="B1646" s="128">
        <v>42905</v>
      </c>
      <c r="C1646">
        <v>13100.15</v>
      </c>
    </row>
    <row r="1647" spans="1:3" x14ac:dyDescent="0.35">
      <c r="A1647" t="s">
        <v>322</v>
      </c>
      <c r="B1647" s="128">
        <v>42902</v>
      </c>
      <c r="C1647">
        <v>13005.86</v>
      </c>
    </row>
    <row r="1648" spans="1:3" x14ac:dyDescent="0.35">
      <c r="A1648" t="s">
        <v>322</v>
      </c>
      <c r="B1648" s="128">
        <v>42901</v>
      </c>
      <c r="C1648">
        <v>12992.34</v>
      </c>
    </row>
    <row r="1649" spans="1:3" x14ac:dyDescent="0.35">
      <c r="A1649" t="s">
        <v>322</v>
      </c>
      <c r="B1649" s="128">
        <v>42900</v>
      </c>
      <c r="C1649">
        <v>13045.44</v>
      </c>
    </row>
    <row r="1650" spans="1:3" x14ac:dyDescent="0.35">
      <c r="A1650" t="s">
        <v>322</v>
      </c>
      <c r="B1650" s="128">
        <v>42899</v>
      </c>
      <c r="C1650">
        <v>13030.22</v>
      </c>
    </row>
    <row r="1651" spans="1:3" x14ac:dyDescent="0.35">
      <c r="A1651" t="s">
        <v>322</v>
      </c>
      <c r="B1651" s="128">
        <v>42898</v>
      </c>
      <c r="C1651">
        <v>13037.83</v>
      </c>
    </row>
    <row r="1652" spans="1:3" x14ac:dyDescent="0.35">
      <c r="A1652" t="s">
        <v>322</v>
      </c>
      <c r="B1652" s="128">
        <v>42895</v>
      </c>
      <c r="C1652">
        <v>13108.12</v>
      </c>
    </row>
    <row r="1653" spans="1:3" x14ac:dyDescent="0.35">
      <c r="A1653" t="s">
        <v>322</v>
      </c>
      <c r="B1653" s="128">
        <v>42894</v>
      </c>
      <c r="C1653">
        <v>13079.63</v>
      </c>
    </row>
    <row r="1654" spans="1:3" x14ac:dyDescent="0.35">
      <c r="A1654" t="s">
        <v>322</v>
      </c>
      <c r="B1654" s="128">
        <v>42893</v>
      </c>
      <c r="C1654">
        <v>13101.62</v>
      </c>
    </row>
    <row r="1655" spans="1:3" x14ac:dyDescent="0.35">
      <c r="A1655" t="s">
        <v>322</v>
      </c>
      <c r="B1655" s="128">
        <v>42892</v>
      </c>
      <c r="C1655">
        <v>13065.33</v>
      </c>
    </row>
    <row r="1656" spans="1:3" x14ac:dyDescent="0.35">
      <c r="A1656" t="s">
        <v>322</v>
      </c>
      <c r="B1656" s="128">
        <v>42891</v>
      </c>
      <c r="C1656">
        <v>13116.78</v>
      </c>
    </row>
    <row r="1657" spans="1:3" x14ac:dyDescent="0.35">
      <c r="A1657" t="s">
        <v>322</v>
      </c>
      <c r="B1657" s="128">
        <v>42888</v>
      </c>
      <c r="C1657">
        <v>13072.98</v>
      </c>
    </row>
    <row r="1658" spans="1:3" x14ac:dyDescent="0.35">
      <c r="A1658" t="s">
        <v>322</v>
      </c>
      <c r="B1658" s="128">
        <v>42887</v>
      </c>
      <c r="C1658">
        <v>13022.35</v>
      </c>
    </row>
    <row r="1659" spans="1:3" x14ac:dyDescent="0.35">
      <c r="A1659" t="s">
        <v>322</v>
      </c>
      <c r="B1659" s="128">
        <v>42886</v>
      </c>
      <c r="C1659">
        <v>13018.69</v>
      </c>
    </row>
    <row r="1660" spans="1:3" x14ac:dyDescent="0.35">
      <c r="A1660" t="s">
        <v>322</v>
      </c>
      <c r="B1660" s="128">
        <v>42885</v>
      </c>
      <c r="C1660">
        <v>13023.19</v>
      </c>
    </row>
    <row r="1661" spans="1:3" x14ac:dyDescent="0.35">
      <c r="A1661" t="s">
        <v>322</v>
      </c>
      <c r="B1661" s="128">
        <v>42884</v>
      </c>
      <c r="C1661">
        <v>12996.61</v>
      </c>
    </row>
    <row r="1662" spans="1:3" x14ac:dyDescent="0.35">
      <c r="A1662" t="s">
        <v>322</v>
      </c>
      <c r="B1662" s="128">
        <v>42881</v>
      </c>
      <c r="C1662">
        <v>12981.79</v>
      </c>
    </row>
    <row r="1663" spans="1:3" x14ac:dyDescent="0.35">
      <c r="A1663" t="s">
        <v>322</v>
      </c>
      <c r="B1663" s="128">
        <v>42880</v>
      </c>
      <c r="C1663">
        <v>12863.38</v>
      </c>
    </row>
    <row r="1664" spans="1:3" x14ac:dyDescent="0.35">
      <c r="A1664" t="s">
        <v>322</v>
      </c>
      <c r="B1664" s="128">
        <v>42879</v>
      </c>
      <c r="C1664">
        <v>12661.62</v>
      </c>
    </row>
    <row r="1665" spans="1:3" x14ac:dyDescent="0.35">
      <c r="A1665" t="s">
        <v>322</v>
      </c>
      <c r="B1665" s="128">
        <v>42878</v>
      </c>
      <c r="C1665">
        <v>12695.02</v>
      </c>
    </row>
    <row r="1666" spans="1:3" x14ac:dyDescent="0.35">
      <c r="A1666" t="s">
        <v>322</v>
      </c>
      <c r="B1666" s="128">
        <v>42877</v>
      </c>
      <c r="C1666">
        <v>12765.48</v>
      </c>
    </row>
    <row r="1667" spans="1:3" x14ac:dyDescent="0.35">
      <c r="A1667" t="s">
        <v>322</v>
      </c>
      <c r="B1667" s="128">
        <v>42874</v>
      </c>
      <c r="C1667">
        <v>12751.43</v>
      </c>
    </row>
    <row r="1668" spans="1:3" x14ac:dyDescent="0.35">
      <c r="A1668" t="s">
        <v>322</v>
      </c>
      <c r="B1668" s="128">
        <v>42873</v>
      </c>
      <c r="C1668">
        <v>12753.55</v>
      </c>
    </row>
    <row r="1669" spans="1:3" x14ac:dyDescent="0.35">
      <c r="A1669" t="s">
        <v>322</v>
      </c>
      <c r="B1669" s="128">
        <v>42872</v>
      </c>
      <c r="C1669">
        <v>12883.83</v>
      </c>
    </row>
    <row r="1670" spans="1:3" x14ac:dyDescent="0.35">
      <c r="A1670" t="s">
        <v>322</v>
      </c>
      <c r="B1670" s="128">
        <v>42871</v>
      </c>
      <c r="C1670">
        <v>12865.56</v>
      </c>
    </row>
    <row r="1671" spans="1:3" x14ac:dyDescent="0.35">
      <c r="A1671" t="s">
        <v>322</v>
      </c>
      <c r="B1671" s="128">
        <v>42870</v>
      </c>
      <c r="C1671">
        <v>12775.11</v>
      </c>
    </row>
    <row r="1672" spans="1:3" x14ac:dyDescent="0.35">
      <c r="A1672" t="s">
        <v>322</v>
      </c>
      <c r="B1672" s="128">
        <v>42867</v>
      </c>
      <c r="C1672">
        <v>12714.97</v>
      </c>
    </row>
    <row r="1673" spans="1:3" x14ac:dyDescent="0.35">
      <c r="A1673" t="s">
        <v>322</v>
      </c>
      <c r="B1673" s="128">
        <v>42866</v>
      </c>
      <c r="C1673">
        <v>12743.99</v>
      </c>
    </row>
    <row r="1674" spans="1:3" x14ac:dyDescent="0.35">
      <c r="A1674" t="s">
        <v>322</v>
      </c>
      <c r="B1674" s="128">
        <v>42865</v>
      </c>
      <c r="C1674">
        <v>12723.6</v>
      </c>
    </row>
    <row r="1675" spans="1:3" x14ac:dyDescent="0.35">
      <c r="A1675" t="s">
        <v>322</v>
      </c>
      <c r="B1675" s="128">
        <v>42864</v>
      </c>
      <c r="C1675">
        <v>12601.23</v>
      </c>
    </row>
    <row r="1676" spans="1:3" x14ac:dyDescent="0.35">
      <c r="A1676" t="s">
        <v>322</v>
      </c>
      <c r="B1676" s="128">
        <v>42863</v>
      </c>
      <c r="C1676">
        <v>12597.5</v>
      </c>
    </row>
    <row r="1677" spans="1:3" x14ac:dyDescent="0.35">
      <c r="A1677" t="s">
        <v>322</v>
      </c>
      <c r="B1677" s="128">
        <v>42860</v>
      </c>
      <c r="C1677">
        <v>12558.6</v>
      </c>
    </row>
    <row r="1678" spans="1:3" x14ac:dyDescent="0.35">
      <c r="A1678" t="s">
        <v>322</v>
      </c>
      <c r="B1678" s="128">
        <v>42859</v>
      </c>
      <c r="C1678">
        <v>12659.51</v>
      </c>
    </row>
    <row r="1679" spans="1:3" x14ac:dyDescent="0.35">
      <c r="A1679" t="s">
        <v>322</v>
      </c>
      <c r="B1679" s="128">
        <v>42858</v>
      </c>
      <c r="C1679">
        <v>12593.58</v>
      </c>
    </row>
    <row r="1680" spans="1:3" x14ac:dyDescent="0.35">
      <c r="A1680" t="s">
        <v>322</v>
      </c>
      <c r="B1680" s="128">
        <v>42857</v>
      </c>
      <c r="C1680">
        <v>12596.08</v>
      </c>
    </row>
    <row r="1681" spans="1:3" x14ac:dyDescent="0.35">
      <c r="A1681" t="s">
        <v>322</v>
      </c>
      <c r="B1681" s="128">
        <v>42853</v>
      </c>
      <c r="C1681">
        <v>12582.88</v>
      </c>
    </row>
    <row r="1682" spans="1:3" x14ac:dyDescent="0.35">
      <c r="A1682" t="s">
        <v>322</v>
      </c>
      <c r="B1682" s="128">
        <v>42852</v>
      </c>
      <c r="C1682">
        <v>12634.41</v>
      </c>
    </row>
    <row r="1683" spans="1:3" x14ac:dyDescent="0.35">
      <c r="A1683" t="s">
        <v>322</v>
      </c>
      <c r="B1683" s="128">
        <v>42851</v>
      </c>
      <c r="C1683">
        <v>12647.53</v>
      </c>
    </row>
    <row r="1684" spans="1:3" x14ac:dyDescent="0.35">
      <c r="A1684" t="s">
        <v>322</v>
      </c>
      <c r="B1684" s="128">
        <v>42850</v>
      </c>
      <c r="C1684">
        <v>12586.34</v>
      </c>
    </row>
    <row r="1685" spans="1:3" x14ac:dyDescent="0.35">
      <c r="A1685" t="s">
        <v>322</v>
      </c>
      <c r="B1685" s="128">
        <v>42849</v>
      </c>
      <c r="C1685">
        <v>12466.46</v>
      </c>
    </row>
    <row r="1686" spans="1:3" x14ac:dyDescent="0.35">
      <c r="A1686" t="s">
        <v>322</v>
      </c>
      <c r="B1686" s="128">
        <v>42846</v>
      </c>
      <c r="C1686">
        <v>12333.17</v>
      </c>
    </row>
    <row r="1687" spans="1:3" x14ac:dyDescent="0.35">
      <c r="A1687" t="s">
        <v>322</v>
      </c>
      <c r="B1687" s="128">
        <v>42845</v>
      </c>
      <c r="C1687">
        <v>12356.2</v>
      </c>
    </row>
    <row r="1688" spans="1:3" x14ac:dyDescent="0.35">
      <c r="A1688" t="s">
        <v>322</v>
      </c>
      <c r="B1688" s="128">
        <v>42844</v>
      </c>
      <c r="C1688">
        <v>12311.67</v>
      </c>
    </row>
    <row r="1689" spans="1:3" x14ac:dyDescent="0.35">
      <c r="A1689" t="s">
        <v>322</v>
      </c>
      <c r="B1689" s="128">
        <v>42843</v>
      </c>
      <c r="C1689">
        <v>12313.9</v>
      </c>
    </row>
    <row r="1690" spans="1:3" x14ac:dyDescent="0.35">
      <c r="A1690" t="s">
        <v>322</v>
      </c>
      <c r="B1690" s="128">
        <v>42842</v>
      </c>
      <c r="C1690">
        <v>12360.11</v>
      </c>
    </row>
    <row r="1691" spans="1:3" x14ac:dyDescent="0.35">
      <c r="A1691" t="s">
        <v>322</v>
      </c>
      <c r="B1691" s="128">
        <v>42838</v>
      </c>
      <c r="C1691">
        <v>12375.68</v>
      </c>
    </row>
    <row r="1692" spans="1:3" x14ac:dyDescent="0.35">
      <c r="A1692" t="s">
        <v>322</v>
      </c>
      <c r="B1692" s="128">
        <v>42837</v>
      </c>
      <c r="C1692">
        <v>12446.84</v>
      </c>
    </row>
    <row r="1693" spans="1:3" x14ac:dyDescent="0.35">
      <c r="A1693" t="s">
        <v>322</v>
      </c>
      <c r="B1693" s="128">
        <v>42836</v>
      </c>
      <c r="C1693">
        <v>12492.24</v>
      </c>
    </row>
    <row r="1694" spans="1:3" x14ac:dyDescent="0.35">
      <c r="A1694" t="s">
        <v>322</v>
      </c>
      <c r="B1694" s="128">
        <v>42835</v>
      </c>
      <c r="C1694">
        <v>12417.07</v>
      </c>
    </row>
    <row r="1695" spans="1:3" x14ac:dyDescent="0.35">
      <c r="A1695" t="s">
        <v>322</v>
      </c>
      <c r="B1695" s="128">
        <v>42832</v>
      </c>
      <c r="C1695">
        <v>12439.9</v>
      </c>
    </row>
    <row r="1696" spans="1:3" x14ac:dyDescent="0.35">
      <c r="A1696" t="s">
        <v>322</v>
      </c>
      <c r="B1696" s="128">
        <v>42831</v>
      </c>
      <c r="C1696">
        <v>12525.97</v>
      </c>
    </row>
    <row r="1697" spans="1:3" x14ac:dyDescent="0.35">
      <c r="A1697" t="s">
        <v>322</v>
      </c>
      <c r="B1697" s="128">
        <v>42830</v>
      </c>
      <c r="C1697">
        <v>12530.31</v>
      </c>
    </row>
    <row r="1698" spans="1:3" x14ac:dyDescent="0.35">
      <c r="A1698" t="s">
        <v>322</v>
      </c>
      <c r="B1698" s="128">
        <v>42828</v>
      </c>
      <c r="C1698">
        <v>12493.39</v>
      </c>
    </row>
    <row r="1699" spans="1:3" x14ac:dyDescent="0.35">
      <c r="A1699" t="s">
        <v>322</v>
      </c>
      <c r="B1699" s="128">
        <v>42825</v>
      </c>
      <c r="C1699">
        <v>12406.69</v>
      </c>
    </row>
    <row r="1700" spans="1:3" x14ac:dyDescent="0.35">
      <c r="A1700" t="s">
        <v>322</v>
      </c>
      <c r="B1700" s="128">
        <v>42824</v>
      </c>
      <c r="C1700">
        <v>12404.41</v>
      </c>
    </row>
    <row r="1701" spans="1:3" x14ac:dyDescent="0.35">
      <c r="A1701" t="s">
        <v>322</v>
      </c>
      <c r="B1701" s="128">
        <v>42823</v>
      </c>
      <c r="C1701">
        <v>12363.95</v>
      </c>
    </row>
    <row r="1702" spans="1:3" x14ac:dyDescent="0.35">
      <c r="A1702" t="s">
        <v>322</v>
      </c>
      <c r="B1702" s="128">
        <v>42822</v>
      </c>
      <c r="C1702">
        <v>12305.77</v>
      </c>
    </row>
    <row r="1703" spans="1:3" x14ac:dyDescent="0.35">
      <c r="A1703" t="s">
        <v>322</v>
      </c>
      <c r="B1703" s="128">
        <v>42821</v>
      </c>
      <c r="C1703">
        <v>12230.63</v>
      </c>
    </row>
    <row r="1704" spans="1:3" x14ac:dyDescent="0.35">
      <c r="A1704" t="s">
        <v>322</v>
      </c>
      <c r="B1704" s="128">
        <v>42818</v>
      </c>
      <c r="C1704">
        <v>12314.98</v>
      </c>
    </row>
    <row r="1705" spans="1:3" x14ac:dyDescent="0.35">
      <c r="A1705" t="s">
        <v>322</v>
      </c>
      <c r="B1705" s="128">
        <v>42817</v>
      </c>
      <c r="C1705">
        <v>12283.35</v>
      </c>
    </row>
    <row r="1706" spans="1:3" x14ac:dyDescent="0.35">
      <c r="A1706" t="s">
        <v>322</v>
      </c>
      <c r="B1706" s="128">
        <v>42816</v>
      </c>
      <c r="C1706">
        <v>12207.85</v>
      </c>
    </row>
    <row r="1707" spans="1:3" x14ac:dyDescent="0.35">
      <c r="A1707" t="s">
        <v>322</v>
      </c>
      <c r="B1707" s="128">
        <v>42815</v>
      </c>
      <c r="C1707">
        <v>12330.92</v>
      </c>
    </row>
    <row r="1708" spans="1:3" x14ac:dyDescent="0.35">
      <c r="A1708" t="s">
        <v>322</v>
      </c>
      <c r="B1708" s="128">
        <v>42814</v>
      </c>
      <c r="C1708">
        <v>12338.14</v>
      </c>
    </row>
    <row r="1709" spans="1:3" x14ac:dyDescent="0.35">
      <c r="A1709" t="s">
        <v>322</v>
      </c>
      <c r="B1709" s="128">
        <v>42811</v>
      </c>
      <c r="C1709">
        <v>12383.04</v>
      </c>
    </row>
    <row r="1710" spans="1:3" x14ac:dyDescent="0.35">
      <c r="A1710" t="s">
        <v>322</v>
      </c>
      <c r="B1710" s="128">
        <v>42810</v>
      </c>
      <c r="C1710">
        <v>12374.48</v>
      </c>
    </row>
    <row r="1711" spans="1:3" x14ac:dyDescent="0.35">
      <c r="A1711" t="s">
        <v>322</v>
      </c>
      <c r="B1711" s="128">
        <v>42809</v>
      </c>
      <c r="C1711">
        <v>12278.23</v>
      </c>
    </row>
    <row r="1712" spans="1:3" x14ac:dyDescent="0.35">
      <c r="A1712" t="s">
        <v>322</v>
      </c>
      <c r="B1712" s="128">
        <v>42808</v>
      </c>
      <c r="C1712">
        <v>12281.22</v>
      </c>
    </row>
    <row r="1713" spans="1:3" x14ac:dyDescent="0.35">
      <c r="A1713" t="s">
        <v>322</v>
      </c>
      <c r="B1713" s="128">
        <v>42804</v>
      </c>
      <c r="C1713">
        <v>12066.4</v>
      </c>
    </row>
    <row r="1714" spans="1:3" x14ac:dyDescent="0.35">
      <c r="A1714" t="s">
        <v>322</v>
      </c>
      <c r="B1714" s="128">
        <v>42803</v>
      </c>
      <c r="C1714">
        <v>12056.17</v>
      </c>
    </row>
    <row r="1715" spans="1:3" x14ac:dyDescent="0.35">
      <c r="A1715" t="s">
        <v>322</v>
      </c>
      <c r="B1715" s="128">
        <v>42802</v>
      </c>
      <c r="C1715">
        <v>12050.77</v>
      </c>
    </row>
    <row r="1716" spans="1:3" x14ac:dyDescent="0.35">
      <c r="A1716" t="s">
        <v>322</v>
      </c>
      <c r="B1716" s="128">
        <v>42801</v>
      </c>
      <c r="C1716">
        <v>12081.34</v>
      </c>
    </row>
    <row r="1717" spans="1:3" x14ac:dyDescent="0.35">
      <c r="A1717" t="s">
        <v>322</v>
      </c>
      <c r="B1717" s="128">
        <v>42800</v>
      </c>
      <c r="C1717">
        <v>12103.68</v>
      </c>
    </row>
    <row r="1718" spans="1:3" x14ac:dyDescent="0.35">
      <c r="A1718" t="s">
        <v>322</v>
      </c>
      <c r="B1718" s="128">
        <v>42797</v>
      </c>
      <c r="C1718">
        <v>12014.7</v>
      </c>
    </row>
    <row r="1719" spans="1:3" x14ac:dyDescent="0.35">
      <c r="A1719" t="s">
        <v>322</v>
      </c>
      <c r="B1719" s="128">
        <v>42796</v>
      </c>
      <c r="C1719">
        <v>12017.63</v>
      </c>
    </row>
    <row r="1720" spans="1:3" x14ac:dyDescent="0.35">
      <c r="A1720" t="s">
        <v>322</v>
      </c>
      <c r="B1720" s="128">
        <v>42795</v>
      </c>
      <c r="C1720">
        <v>12079.8</v>
      </c>
    </row>
    <row r="1721" spans="1:3" x14ac:dyDescent="0.35">
      <c r="A1721" t="s">
        <v>322</v>
      </c>
      <c r="B1721" s="128">
        <v>42794</v>
      </c>
      <c r="C1721">
        <v>11990.44</v>
      </c>
    </row>
    <row r="1722" spans="1:3" x14ac:dyDescent="0.35">
      <c r="A1722" t="s">
        <v>322</v>
      </c>
      <c r="B1722" s="128">
        <v>42793</v>
      </c>
      <c r="C1722">
        <v>12009.8</v>
      </c>
    </row>
    <row r="1723" spans="1:3" x14ac:dyDescent="0.35">
      <c r="A1723" t="s">
        <v>322</v>
      </c>
      <c r="B1723" s="128">
        <v>42789</v>
      </c>
      <c r="C1723">
        <v>12067.61</v>
      </c>
    </row>
    <row r="1724" spans="1:3" x14ac:dyDescent="0.35">
      <c r="A1724" t="s">
        <v>322</v>
      </c>
      <c r="B1724" s="128">
        <v>42788</v>
      </c>
      <c r="C1724">
        <v>12050.54</v>
      </c>
    </row>
    <row r="1725" spans="1:3" x14ac:dyDescent="0.35">
      <c r="A1725" t="s">
        <v>322</v>
      </c>
      <c r="B1725" s="128">
        <v>42787</v>
      </c>
      <c r="C1725">
        <v>12024.88</v>
      </c>
    </row>
    <row r="1726" spans="1:3" x14ac:dyDescent="0.35">
      <c r="A1726" t="s">
        <v>322</v>
      </c>
      <c r="B1726" s="128">
        <v>42786</v>
      </c>
      <c r="C1726">
        <v>11986.21</v>
      </c>
    </row>
    <row r="1727" spans="1:3" x14ac:dyDescent="0.35">
      <c r="A1727" t="s">
        <v>322</v>
      </c>
      <c r="B1727" s="128">
        <v>42783</v>
      </c>
      <c r="C1727">
        <v>11908.56</v>
      </c>
    </row>
    <row r="1728" spans="1:3" x14ac:dyDescent="0.35">
      <c r="A1728" t="s">
        <v>322</v>
      </c>
      <c r="B1728" s="128">
        <v>42782</v>
      </c>
      <c r="C1728">
        <v>11849.55</v>
      </c>
    </row>
    <row r="1729" spans="1:3" x14ac:dyDescent="0.35">
      <c r="A1729" t="s">
        <v>322</v>
      </c>
      <c r="B1729" s="128">
        <v>42781</v>
      </c>
      <c r="C1729">
        <v>11776.57</v>
      </c>
    </row>
    <row r="1730" spans="1:3" x14ac:dyDescent="0.35">
      <c r="A1730" t="s">
        <v>322</v>
      </c>
      <c r="B1730" s="128">
        <v>42780</v>
      </c>
      <c r="C1730">
        <v>11865.43</v>
      </c>
    </row>
    <row r="1731" spans="1:3" x14ac:dyDescent="0.35">
      <c r="A1731" t="s">
        <v>322</v>
      </c>
      <c r="B1731" s="128">
        <v>42779</v>
      </c>
      <c r="C1731">
        <v>11882.38</v>
      </c>
    </row>
    <row r="1732" spans="1:3" x14ac:dyDescent="0.35">
      <c r="A1732" t="s">
        <v>322</v>
      </c>
      <c r="B1732" s="128">
        <v>42776</v>
      </c>
      <c r="C1732">
        <v>11866.82</v>
      </c>
    </row>
    <row r="1733" spans="1:3" x14ac:dyDescent="0.35">
      <c r="A1733" t="s">
        <v>322</v>
      </c>
      <c r="B1733" s="128">
        <v>42775</v>
      </c>
      <c r="C1733">
        <v>11846.42</v>
      </c>
    </row>
    <row r="1734" spans="1:3" x14ac:dyDescent="0.35">
      <c r="A1734" t="s">
        <v>322</v>
      </c>
      <c r="B1734" s="128">
        <v>42774</v>
      </c>
      <c r="C1734">
        <v>11833.8</v>
      </c>
    </row>
    <row r="1735" spans="1:3" x14ac:dyDescent="0.35">
      <c r="A1735" t="s">
        <v>322</v>
      </c>
      <c r="B1735" s="128">
        <v>42773</v>
      </c>
      <c r="C1735">
        <v>11832.78</v>
      </c>
    </row>
    <row r="1736" spans="1:3" x14ac:dyDescent="0.35">
      <c r="A1736" t="s">
        <v>322</v>
      </c>
      <c r="B1736" s="128">
        <v>42772</v>
      </c>
      <c r="C1736">
        <v>11874.73</v>
      </c>
    </row>
    <row r="1737" spans="1:3" x14ac:dyDescent="0.35">
      <c r="A1737" t="s">
        <v>322</v>
      </c>
      <c r="B1737" s="128">
        <v>42769</v>
      </c>
      <c r="C1737">
        <v>11793.62</v>
      </c>
    </row>
    <row r="1738" spans="1:3" x14ac:dyDescent="0.35">
      <c r="A1738" t="s">
        <v>322</v>
      </c>
      <c r="B1738" s="128">
        <v>42768</v>
      </c>
      <c r="C1738">
        <v>11784.61</v>
      </c>
    </row>
    <row r="1739" spans="1:3" x14ac:dyDescent="0.35">
      <c r="A1739" t="s">
        <v>322</v>
      </c>
      <c r="B1739" s="128">
        <v>42767</v>
      </c>
      <c r="C1739">
        <v>11758.63</v>
      </c>
    </row>
    <row r="1740" spans="1:3" x14ac:dyDescent="0.35">
      <c r="A1740" t="s">
        <v>322</v>
      </c>
      <c r="B1740" s="128">
        <v>42766</v>
      </c>
      <c r="C1740">
        <v>11548.15</v>
      </c>
    </row>
    <row r="1741" spans="1:3" x14ac:dyDescent="0.35">
      <c r="A1741" t="s">
        <v>322</v>
      </c>
      <c r="B1741" s="128">
        <v>42765</v>
      </c>
      <c r="C1741">
        <v>11644.53</v>
      </c>
    </row>
    <row r="1742" spans="1:3" x14ac:dyDescent="0.35">
      <c r="A1742" t="s">
        <v>322</v>
      </c>
      <c r="B1742" s="128">
        <v>42762</v>
      </c>
      <c r="C1742">
        <v>11656</v>
      </c>
    </row>
    <row r="1743" spans="1:3" x14ac:dyDescent="0.35">
      <c r="A1743" t="s">
        <v>322</v>
      </c>
      <c r="B1743" s="128">
        <v>42760</v>
      </c>
      <c r="C1743">
        <v>11604.09</v>
      </c>
    </row>
    <row r="1744" spans="1:3" x14ac:dyDescent="0.35">
      <c r="A1744" t="s">
        <v>322</v>
      </c>
      <c r="B1744" s="128">
        <v>42759</v>
      </c>
      <c r="C1744">
        <v>11432.83</v>
      </c>
    </row>
    <row r="1745" spans="1:3" x14ac:dyDescent="0.35">
      <c r="A1745" t="s">
        <v>322</v>
      </c>
      <c r="B1745" s="128">
        <v>42758</v>
      </c>
      <c r="C1745">
        <v>11319.09</v>
      </c>
    </row>
    <row r="1746" spans="1:3" x14ac:dyDescent="0.35">
      <c r="A1746" t="s">
        <v>322</v>
      </c>
      <c r="B1746" s="128">
        <v>42755</v>
      </c>
      <c r="C1746">
        <v>11260.99</v>
      </c>
    </row>
    <row r="1747" spans="1:3" x14ac:dyDescent="0.35">
      <c r="A1747" t="s">
        <v>322</v>
      </c>
      <c r="B1747" s="128">
        <v>42754</v>
      </c>
      <c r="C1747">
        <v>11376.62</v>
      </c>
    </row>
    <row r="1748" spans="1:3" x14ac:dyDescent="0.35">
      <c r="A1748" t="s">
        <v>322</v>
      </c>
      <c r="B1748" s="128">
        <v>42753</v>
      </c>
      <c r="C1748">
        <v>11352.22</v>
      </c>
    </row>
    <row r="1749" spans="1:3" x14ac:dyDescent="0.35">
      <c r="A1749" t="s">
        <v>322</v>
      </c>
      <c r="B1749" s="128">
        <v>42752</v>
      </c>
      <c r="C1749">
        <v>11326.62</v>
      </c>
    </row>
    <row r="1750" spans="1:3" x14ac:dyDescent="0.35">
      <c r="A1750" t="s">
        <v>322</v>
      </c>
      <c r="B1750" s="128">
        <v>42751</v>
      </c>
      <c r="C1750">
        <v>11346.57</v>
      </c>
    </row>
    <row r="1751" spans="1:3" x14ac:dyDescent="0.35">
      <c r="A1751" t="s">
        <v>322</v>
      </c>
      <c r="B1751" s="128">
        <v>42748</v>
      </c>
      <c r="C1751">
        <v>11329.78</v>
      </c>
    </row>
    <row r="1752" spans="1:3" x14ac:dyDescent="0.35">
      <c r="A1752" t="s">
        <v>322</v>
      </c>
      <c r="B1752" s="128">
        <v>42747</v>
      </c>
      <c r="C1752">
        <v>11339.04</v>
      </c>
    </row>
    <row r="1753" spans="1:3" x14ac:dyDescent="0.35">
      <c r="A1753" t="s">
        <v>322</v>
      </c>
      <c r="B1753" s="128">
        <v>42746</v>
      </c>
      <c r="C1753">
        <v>11303.19</v>
      </c>
    </row>
    <row r="1754" spans="1:3" x14ac:dyDescent="0.35">
      <c r="A1754" t="s">
        <v>322</v>
      </c>
      <c r="B1754" s="128">
        <v>42745</v>
      </c>
      <c r="C1754">
        <v>11179.04</v>
      </c>
    </row>
    <row r="1755" spans="1:3" x14ac:dyDescent="0.35">
      <c r="A1755" t="s">
        <v>322</v>
      </c>
      <c r="B1755" s="128">
        <v>42744</v>
      </c>
      <c r="C1755">
        <v>11108.2</v>
      </c>
    </row>
    <row r="1756" spans="1:3" x14ac:dyDescent="0.35">
      <c r="A1756" t="s">
        <v>322</v>
      </c>
      <c r="B1756" s="128">
        <v>42741</v>
      </c>
      <c r="C1756">
        <v>11118.62</v>
      </c>
    </row>
    <row r="1757" spans="1:3" x14ac:dyDescent="0.35">
      <c r="A1757" t="s">
        <v>322</v>
      </c>
      <c r="B1757" s="128">
        <v>42740</v>
      </c>
      <c r="C1757">
        <v>11159.12</v>
      </c>
    </row>
    <row r="1758" spans="1:3" x14ac:dyDescent="0.35">
      <c r="A1758" t="s">
        <v>322</v>
      </c>
      <c r="B1758" s="128">
        <v>42739</v>
      </c>
      <c r="C1758">
        <v>11046.76</v>
      </c>
    </row>
    <row r="1759" spans="1:3" x14ac:dyDescent="0.35">
      <c r="A1759" t="s">
        <v>322</v>
      </c>
      <c r="B1759" s="128">
        <v>42738</v>
      </c>
      <c r="C1759">
        <v>11049.08</v>
      </c>
    </row>
    <row r="1760" spans="1:3" x14ac:dyDescent="0.35">
      <c r="A1760" t="s">
        <v>322</v>
      </c>
      <c r="B1760" s="128">
        <v>42737</v>
      </c>
      <c r="C1760">
        <v>11031.91</v>
      </c>
    </row>
    <row r="1761" spans="1:3" x14ac:dyDescent="0.35">
      <c r="A1761" t="s">
        <v>322</v>
      </c>
      <c r="B1761" s="128">
        <v>42734</v>
      </c>
      <c r="C1761">
        <v>11040.41</v>
      </c>
    </row>
    <row r="1762" spans="1:3" x14ac:dyDescent="0.35">
      <c r="A1762" t="s">
        <v>322</v>
      </c>
      <c r="B1762" s="128">
        <v>42733</v>
      </c>
      <c r="C1762">
        <v>10929.53</v>
      </c>
    </row>
    <row r="1763" spans="1:3" x14ac:dyDescent="0.35">
      <c r="A1763" t="s">
        <v>322</v>
      </c>
      <c r="B1763" s="128">
        <v>42732</v>
      </c>
      <c r="C1763">
        <v>10836.85</v>
      </c>
    </row>
    <row r="1764" spans="1:3" x14ac:dyDescent="0.35">
      <c r="A1764" t="s">
        <v>322</v>
      </c>
      <c r="B1764" s="128">
        <v>42731</v>
      </c>
      <c r="C1764">
        <v>10834.12</v>
      </c>
    </row>
    <row r="1765" spans="1:3" x14ac:dyDescent="0.35">
      <c r="A1765" t="s">
        <v>322</v>
      </c>
      <c r="B1765" s="128">
        <v>42730</v>
      </c>
      <c r="C1765">
        <v>10666.06</v>
      </c>
    </row>
    <row r="1766" spans="1:3" x14ac:dyDescent="0.35">
      <c r="A1766" t="s">
        <v>322</v>
      </c>
      <c r="B1766" s="128">
        <v>42727</v>
      </c>
      <c r="C1766">
        <v>10770.6</v>
      </c>
    </row>
    <row r="1767" spans="1:3" x14ac:dyDescent="0.35">
      <c r="A1767" t="s">
        <v>322</v>
      </c>
      <c r="B1767" s="128">
        <v>42726</v>
      </c>
      <c r="C1767">
        <v>10761.65</v>
      </c>
    </row>
    <row r="1768" spans="1:3" x14ac:dyDescent="0.35">
      <c r="A1768" t="s">
        <v>322</v>
      </c>
      <c r="B1768" s="128">
        <v>42725</v>
      </c>
      <c r="C1768">
        <v>10872.49</v>
      </c>
    </row>
    <row r="1769" spans="1:3" x14ac:dyDescent="0.35">
      <c r="A1769" t="s">
        <v>322</v>
      </c>
      <c r="B1769" s="128">
        <v>42724</v>
      </c>
      <c r="C1769">
        <v>10900.96</v>
      </c>
    </row>
    <row r="1770" spans="1:3" x14ac:dyDescent="0.35">
      <c r="A1770" t="s">
        <v>322</v>
      </c>
      <c r="B1770" s="128">
        <v>42723</v>
      </c>
      <c r="C1770">
        <v>10930.55</v>
      </c>
    </row>
    <row r="1771" spans="1:3" x14ac:dyDescent="0.35">
      <c r="A1771" t="s">
        <v>322</v>
      </c>
      <c r="B1771" s="128">
        <v>42720</v>
      </c>
      <c r="C1771">
        <v>10977.91</v>
      </c>
    </row>
    <row r="1772" spans="1:3" x14ac:dyDescent="0.35">
      <c r="A1772" t="s">
        <v>322</v>
      </c>
      <c r="B1772" s="128">
        <v>42719</v>
      </c>
      <c r="C1772">
        <v>10997.01</v>
      </c>
    </row>
    <row r="1773" spans="1:3" x14ac:dyDescent="0.35">
      <c r="A1773" t="s">
        <v>322</v>
      </c>
      <c r="B1773" s="128">
        <v>42718</v>
      </c>
      <c r="C1773">
        <v>11035.88</v>
      </c>
    </row>
    <row r="1774" spans="1:3" x14ac:dyDescent="0.35">
      <c r="A1774" t="s">
        <v>322</v>
      </c>
      <c r="B1774" s="128">
        <v>42717</v>
      </c>
      <c r="C1774">
        <v>11088.99</v>
      </c>
    </row>
    <row r="1775" spans="1:3" x14ac:dyDescent="0.35">
      <c r="A1775" t="s">
        <v>322</v>
      </c>
      <c r="B1775" s="128">
        <v>42716</v>
      </c>
      <c r="C1775">
        <v>11020.15</v>
      </c>
    </row>
    <row r="1776" spans="1:3" x14ac:dyDescent="0.35">
      <c r="A1776" t="s">
        <v>322</v>
      </c>
      <c r="B1776" s="128">
        <v>42713</v>
      </c>
      <c r="C1776">
        <v>11142.82</v>
      </c>
    </row>
    <row r="1777" spans="1:3" x14ac:dyDescent="0.35">
      <c r="A1777" t="s">
        <v>322</v>
      </c>
      <c r="B1777" s="128">
        <v>42712</v>
      </c>
      <c r="C1777">
        <v>11122.75</v>
      </c>
    </row>
    <row r="1778" spans="1:3" x14ac:dyDescent="0.35">
      <c r="A1778" t="s">
        <v>322</v>
      </c>
      <c r="B1778" s="128">
        <v>42711</v>
      </c>
      <c r="C1778">
        <v>10927.43</v>
      </c>
    </row>
    <row r="1779" spans="1:3" x14ac:dyDescent="0.35">
      <c r="A1779" t="s">
        <v>322</v>
      </c>
      <c r="B1779" s="128">
        <v>42710</v>
      </c>
      <c r="C1779">
        <v>10982.89</v>
      </c>
    </row>
    <row r="1780" spans="1:3" x14ac:dyDescent="0.35">
      <c r="A1780" t="s">
        <v>322</v>
      </c>
      <c r="B1780" s="128">
        <v>42709</v>
      </c>
      <c r="C1780">
        <v>10963.49</v>
      </c>
    </row>
    <row r="1781" spans="1:3" x14ac:dyDescent="0.35">
      <c r="A1781" t="s">
        <v>322</v>
      </c>
      <c r="B1781" s="128">
        <v>42706</v>
      </c>
      <c r="C1781">
        <v>10906.86</v>
      </c>
    </row>
    <row r="1782" spans="1:3" x14ac:dyDescent="0.35">
      <c r="A1782" t="s">
        <v>322</v>
      </c>
      <c r="B1782" s="128">
        <v>42705</v>
      </c>
      <c r="C1782">
        <v>11050</v>
      </c>
    </row>
    <row r="1783" spans="1:3" x14ac:dyDescent="0.35">
      <c r="A1783" t="s">
        <v>322</v>
      </c>
      <c r="B1783" s="128">
        <v>42704</v>
      </c>
      <c r="C1783">
        <v>11092.59</v>
      </c>
    </row>
    <row r="1784" spans="1:3" x14ac:dyDescent="0.35">
      <c r="A1784" t="s">
        <v>322</v>
      </c>
      <c r="B1784" s="128">
        <v>42703</v>
      </c>
      <c r="C1784">
        <v>10981.54</v>
      </c>
    </row>
    <row r="1785" spans="1:3" x14ac:dyDescent="0.35">
      <c r="A1785" t="s">
        <v>322</v>
      </c>
      <c r="B1785" s="128">
        <v>42702</v>
      </c>
      <c r="C1785">
        <v>10960.97</v>
      </c>
    </row>
    <row r="1786" spans="1:3" x14ac:dyDescent="0.35">
      <c r="A1786" t="s">
        <v>322</v>
      </c>
      <c r="B1786" s="128">
        <v>42699</v>
      </c>
      <c r="C1786">
        <v>10943.99</v>
      </c>
    </row>
    <row r="1787" spans="1:3" x14ac:dyDescent="0.35">
      <c r="A1787" t="s">
        <v>322</v>
      </c>
      <c r="B1787" s="128">
        <v>42698</v>
      </c>
      <c r="C1787">
        <v>10743.28</v>
      </c>
    </row>
    <row r="1788" spans="1:3" x14ac:dyDescent="0.35">
      <c r="A1788" t="s">
        <v>322</v>
      </c>
      <c r="B1788" s="128">
        <v>42697</v>
      </c>
      <c r="C1788">
        <v>10834.59</v>
      </c>
    </row>
    <row r="1789" spans="1:3" x14ac:dyDescent="0.35">
      <c r="A1789" t="s">
        <v>322</v>
      </c>
      <c r="B1789" s="128">
        <v>42696</v>
      </c>
      <c r="C1789">
        <v>10792.82</v>
      </c>
    </row>
    <row r="1790" spans="1:3" x14ac:dyDescent="0.35">
      <c r="A1790" t="s">
        <v>322</v>
      </c>
      <c r="B1790" s="128">
        <v>42695</v>
      </c>
      <c r="C1790">
        <v>10694.09</v>
      </c>
    </row>
    <row r="1791" spans="1:3" x14ac:dyDescent="0.35">
      <c r="A1791" t="s">
        <v>322</v>
      </c>
      <c r="B1791" s="128">
        <v>42692</v>
      </c>
      <c r="C1791">
        <v>10889.64</v>
      </c>
    </row>
    <row r="1792" spans="1:3" x14ac:dyDescent="0.35">
      <c r="A1792" t="s">
        <v>322</v>
      </c>
      <c r="B1792" s="128">
        <v>42691</v>
      </c>
      <c r="C1792">
        <v>10897.55</v>
      </c>
    </row>
    <row r="1793" spans="1:3" x14ac:dyDescent="0.35">
      <c r="A1793" t="s">
        <v>322</v>
      </c>
      <c r="B1793" s="128">
        <v>42690</v>
      </c>
      <c r="C1793">
        <v>10940.23</v>
      </c>
    </row>
    <row r="1794" spans="1:3" x14ac:dyDescent="0.35">
      <c r="A1794" t="s">
        <v>322</v>
      </c>
      <c r="B1794" s="128">
        <v>42689</v>
      </c>
      <c r="C1794">
        <v>10935.99</v>
      </c>
    </row>
    <row r="1795" spans="1:3" x14ac:dyDescent="0.35">
      <c r="A1795" t="s">
        <v>322</v>
      </c>
      <c r="B1795" s="128">
        <v>42685</v>
      </c>
      <c r="C1795">
        <v>11189.3</v>
      </c>
    </row>
    <row r="1796" spans="1:3" x14ac:dyDescent="0.35">
      <c r="A1796" t="s">
        <v>322</v>
      </c>
      <c r="B1796" s="128">
        <v>42684</v>
      </c>
      <c r="C1796">
        <v>11498.79</v>
      </c>
    </row>
    <row r="1797" spans="1:3" x14ac:dyDescent="0.35">
      <c r="A1797" t="s">
        <v>322</v>
      </c>
      <c r="B1797" s="128">
        <v>42683</v>
      </c>
      <c r="C1797">
        <v>11372.35</v>
      </c>
    </row>
    <row r="1798" spans="1:3" x14ac:dyDescent="0.35">
      <c r="A1798" t="s">
        <v>322</v>
      </c>
      <c r="B1798" s="128">
        <v>42682</v>
      </c>
      <c r="C1798">
        <v>11522.76</v>
      </c>
    </row>
    <row r="1799" spans="1:3" x14ac:dyDescent="0.35">
      <c r="A1799" t="s">
        <v>322</v>
      </c>
      <c r="B1799" s="128">
        <v>42681</v>
      </c>
      <c r="C1799">
        <v>11460.08</v>
      </c>
    </row>
    <row r="1800" spans="1:3" x14ac:dyDescent="0.35">
      <c r="A1800" t="s">
        <v>322</v>
      </c>
      <c r="B1800" s="128">
        <v>42678</v>
      </c>
      <c r="C1800">
        <v>11374.71</v>
      </c>
    </row>
    <row r="1801" spans="1:3" x14ac:dyDescent="0.35">
      <c r="A1801" t="s">
        <v>322</v>
      </c>
      <c r="B1801" s="128">
        <v>42677</v>
      </c>
      <c r="C1801">
        <v>11443.72</v>
      </c>
    </row>
    <row r="1802" spans="1:3" x14ac:dyDescent="0.35">
      <c r="A1802" t="s">
        <v>322</v>
      </c>
      <c r="B1802" s="128">
        <v>42676</v>
      </c>
      <c r="C1802">
        <v>11479.94</v>
      </c>
    </row>
    <row r="1803" spans="1:3" x14ac:dyDescent="0.35">
      <c r="A1803" t="s">
        <v>322</v>
      </c>
      <c r="B1803" s="128">
        <v>42675</v>
      </c>
      <c r="C1803">
        <v>11631.33</v>
      </c>
    </row>
    <row r="1804" spans="1:3" x14ac:dyDescent="0.35">
      <c r="A1804" t="s">
        <v>322</v>
      </c>
      <c r="B1804" s="128">
        <v>42673</v>
      </c>
      <c r="C1804">
        <v>11628.32</v>
      </c>
    </row>
    <row r="1805" spans="1:3" x14ac:dyDescent="0.35">
      <c r="A1805" t="s">
        <v>322</v>
      </c>
      <c r="B1805" s="128">
        <v>42671</v>
      </c>
      <c r="C1805">
        <v>11644.89</v>
      </c>
    </row>
    <row r="1806" spans="1:3" x14ac:dyDescent="0.35">
      <c r="A1806" t="s">
        <v>322</v>
      </c>
      <c r="B1806" s="128">
        <v>42670</v>
      </c>
      <c r="C1806">
        <v>11614.18</v>
      </c>
    </row>
    <row r="1807" spans="1:3" x14ac:dyDescent="0.35">
      <c r="A1807" t="s">
        <v>322</v>
      </c>
      <c r="B1807" s="128">
        <v>42669</v>
      </c>
      <c r="C1807">
        <v>11612.99</v>
      </c>
    </row>
    <row r="1808" spans="1:3" x14ac:dyDescent="0.35">
      <c r="A1808" t="s">
        <v>322</v>
      </c>
      <c r="B1808" s="128">
        <v>42668</v>
      </c>
      <c r="C1808">
        <v>11715.45</v>
      </c>
    </row>
    <row r="1809" spans="1:3" x14ac:dyDescent="0.35">
      <c r="A1809" t="s">
        <v>322</v>
      </c>
      <c r="B1809" s="128">
        <v>42667</v>
      </c>
      <c r="C1809">
        <v>11739.24</v>
      </c>
    </row>
    <row r="1810" spans="1:3" x14ac:dyDescent="0.35">
      <c r="A1810" t="s">
        <v>322</v>
      </c>
      <c r="B1810" s="128">
        <v>42664</v>
      </c>
      <c r="C1810">
        <v>11716.57</v>
      </c>
    </row>
    <row r="1811" spans="1:3" x14ac:dyDescent="0.35">
      <c r="A1811" t="s">
        <v>322</v>
      </c>
      <c r="B1811" s="128">
        <v>42663</v>
      </c>
      <c r="C1811">
        <v>11717.04</v>
      </c>
    </row>
    <row r="1812" spans="1:3" x14ac:dyDescent="0.35">
      <c r="A1812" t="s">
        <v>322</v>
      </c>
      <c r="B1812" s="128">
        <v>42662</v>
      </c>
      <c r="C1812">
        <v>11662.81</v>
      </c>
    </row>
    <row r="1813" spans="1:3" x14ac:dyDescent="0.35">
      <c r="A1813" t="s">
        <v>322</v>
      </c>
      <c r="B1813" s="128">
        <v>42661</v>
      </c>
      <c r="C1813">
        <v>11688.13</v>
      </c>
    </row>
    <row r="1814" spans="1:3" x14ac:dyDescent="0.35">
      <c r="A1814" t="s">
        <v>322</v>
      </c>
      <c r="B1814" s="128">
        <v>42660</v>
      </c>
      <c r="C1814">
        <v>11475.97</v>
      </c>
    </row>
    <row r="1815" spans="1:3" x14ac:dyDescent="0.35">
      <c r="A1815" t="s">
        <v>322</v>
      </c>
      <c r="B1815" s="128">
        <v>42657</v>
      </c>
      <c r="C1815">
        <v>11560.81</v>
      </c>
    </row>
    <row r="1816" spans="1:3" x14ac:dyDescent="0.35">
      <c r="A1816" t="s">
        <v>322</v>
      </c>
      <c r="B1816" s="128">
        <v>42656</v>
      </c>
      <c r="C1816">
        <v>11547.3</v>
      </c>
    </row>
    <row r="1817" spans="1:3" x14ac:dyDescent="0.35">
      <c r="A1817" t="s">
        <v>322</v>
      </c>
      <c r="B1817" s="128">
        <v>42653</v>
      </c>
      <c r="C1817">
        <v>11729.75</v>
      </c>
    </row>
    <row r="1818" spans="1:3" x14ac:dyDescent="0.35">
      <c r="A1818" t="s">
        <v>322</v>
      </c>
      <c r="B1818" s="128">
        <v>42650</v>
      </c>
      <c r="C1818">
        <v>11714.65</v>
      </c>
    </row>
    <row r="1819" spans="1:3" x14ac:dyDescent="0.35">
      <c r="A1819" t="s">
        <v>322</v>
      </c>
      <c r="B1819" s="128">
        <v>42649</v>
      </c>
      <c r="C1819">
        <v>11730.75</v>
      </c>
    </row>
    <row r="1820" spans="1:3" x14ac:dyDescent="0.35">
      <c r="A1820" t="s">
        <v>322</v>
      </c>
      <c r="B1820" s="128">
        <v>42648</v>
      </c>
      <c r="C1820">
        <v>11777.1</v>
      </c>
    </row>
    <row r="1821" spans="1:3" x14ac:dyDescent="0.35">
      <c r="A1821" t="s">
        <v>322</v>
      </c>
      <c r="B1821" s="128">
        <v>42647</v>
      </c>
      <c r="C1821">
        <v>11811.04</v>
      </c>
    </row>
    <row r="1822" spans="1:3" x14ac:dyDescent="0.35">
      <c r="A1822" t="s">
        <v>322</v>
      </c>
      <c r="B1822" s="128">
        <v>42646</v>
      </c>
      <c r="C1822">
        <v>11769.16</v>
      </c>
    </row>
    <row r="1823" spans="1:3" x14ac:dyDescent="0.35">
      <c r="A1823" t="s">
        <v>322</v>
      </c>
      <c r="B1823" s="128">
        <v>42643</v>
      </c>
      <c r="C1823">
        <v>11598.22</v>
      </c>
    </row>
    <row r="1824" spans="1:3" x14ac:dyDescent="0.35">
      <c r="A1824" t="s">
        <v>322</v>
      </c>
      <c r="B1824" s="128">
        <v>42642</v>
      </c>
      <c r="C1824">
        <v>11571.4</v>
      </c>
    </row>
    <row r="1825" spans="1:3" x14ac:dyDescent="0.35">
      <c r="A1825" t="s">
        <v>322</v>
      </c>
      <c r="B1825" s="128">
        <v>42641</v>
      </c>
      <c r="C1825">
        <v>11778.71</v>
      </c>
    </row>
    <row r="1826" spans="1:3" x14ac:dyDescent="0.35">
      <c r="A1826" t="s">
        <v>322</v>
      </c>
      <c r="B1826" s="128">
        <v>42640</v>
      </c>
      <c r="C1826">
        <v>11726.49</v>
      </c>
    </row>
    <row r="1827" spans="1:3" x14ac:dyDescent="0.35">
      <c r="A1827" t="s">
        <v>322</v>
      </c>
      <c r="B1827" s="128">
        <v>42639</v>
      </c>
      <c r="C1827">
        <v>11748.91</v>
      </c>
    </row>
    <row r="1828" spans="1:3" x14ac:dyDescent="0.35">
      <c r="A1828" t="s">
        <v>322</v>
      </c>
      <c r="B1828" s="128">
        <v>42636</v>
      </c>
      <c r="C1828">
        <v>11895.07</v>
      </c>
    </row>
    <row r="1829" spans="1:3" x14ac:dyDescent="0.35">
      <c r="A1829" t="s">
        <v>322</v>
      </c>
      <c r="B1829" s="128">
        <v>42635</v>
      </c>
      <c r="C1829">
        <v>11943.44</v>
      </c>
    </row>
    <row r="1830" spans="1:3" x14ac:dyDescent="0.35">
      <c r="A1830" t="s">
        <v>322</v>
      </c>
      <c r="B1830" s="128">
        <v>42634</v>
      </c>
      <c r="C1830">
        <v>11821.52</v>
      </c>
    </row>
    <row r="1831" spans="1:3" x14ac:dyDescent="0.35">
      <c r="A1831" t="s">
        <v>322</v>
      </c>
      <c r="B1831" s="128">
        <v>42633</v>
      </c>
      <c r="C1831">
        <v>11819.83</v>
      </c>
    </row>
    <row r="1832" spans="1:3" x14ac:dyDescent="0.35">
      <c r="A1832" t="s">
        <v>322</v>
      </c>
      <c r="B1832" s="128">
        <v>42632</v>
      </c>
      <c r="C1832">
        <v>11863.61</v>
      </c>
    </row>
    <row r="1833" spans="1:3" x14ac:dyDescent="0.35">
      <c r="A1833" t="s">
        <v>322</v>
      </c>
      <c r="B1833" s="128">
        <v>42629</v>
      </c>
      <c r="C1833">
        <v>11825.12</v>
      </c>
    </row>
    <row r="1834" spans="1:3" x14ac:dyDescent="0.35">
      <c r="A1834" t="s">
        <v>322</v>
      </c>
      <c r="B1834" s="128">
        <v>42628</v>
      </c>
      <c r="C1834">
        <v>11774.9</v>
      </c>
    </row>
    <row r="1835" spans="1:3" x14ac:dyDescent="0.35">
      <c r="A1835" t="s">
        <v>322</v>
      </c>
      <c r="B1835" s="128">
        <v>42627</v>
      </c>
      <c r="C1835">
        <v>11751.93</v>
      </c>
    </row>
    <row r="1836" spans="1:3" x14ac:dyDescent="0.35">
      <c r="A1836" t="s">
        <v>322</v>
      </c>
      <c r="B1836" s="128">
        <v>42625</v>
      </c>
      <c r="C1836">
        <v>11737</v>
      </c>
    </row>
    <row r="1837" spans="1:3" x14ac:dyDescent="0.35">
      <c r="A1837" t="s">
        <v>322</v>
      </c>
      <c r="B1837" s="128">
        <v>42622</v>
      </c>
      <c r="C1837">
        <v>11940.12</v>
      </c>
    </row>
    <row r="1838" spans="1:3" x14ac:dyDescent="0.35">
      <c r="A1838" t="s">
        <v>322</v>
      </c>
      <c r="B1838" s="128">
        <v>42621</v>
      </c>
      <c r="C1838">
        <v>12055.6</v>
      </c>
    </row>
    <row r="1839" spans="1:3" x14ac:dyDescent="0.35">
      <c r="A1839" t="s">
        <v>322</v>
      </c>
      <c r="B1839" s="128">
        <v>42620</v>
      </c>
      <c r="C1839">
        <v>12005.43</v>
      </c>
    </row>
    <row r="1840" spans="1:3" x14ac:dyDescent="0.35">
      <c r="A1840" t="s">
        <v>322</v>
      </c>
      <c r="B1840" s="128">
        <v>42619</v>
      </c>
      <c r="C1840">
        <v>12037.72</v>
      </c>
    </row>
    <row r="1841" spans="1:3" x14ac:dyDescent="0.35">
      <c r="A1841" t="s">
        <v>322</v>
      </c>
      <c r="B1841" s="128">
        <v>42615</v>
      </c>
      <c r="C1841">
        <v>11857.76</v>
      </c>
    </row>
    <row r="1842" spans="1:3" x14ac:dyDescent="0.35">
      <c r="A1842" t="s">
        <v>322</v>
      </c>
      <c r="B1842" s="128">
        <v>42614</v>
      </c>
      <c r="C1842">
        <v>11810.69</v>
      </c>
    </row>
    <row r="1843" spans="1:3" x14ac:dyDescent="0.35">
      <c r="A1843" t="s">
        <v>322</v>
      </c>
      <c r="B1843" s="128">
        <v>42613</v>
      </c>
      <c r="C1843">
        <v>11826.19</v>
      </c>
    </row>
    <row r="1844" spans="1:3" x14ac:dyDescent="0.35">
      <c r="A1844" t="s">
        <v>322</v>
      </c>
      <c r="B1844" s="128">
        <v>42612</v>
      </c>
      <c r="C1844">
        <v>11766.04</v>
      </c>
    </row>
    <row r="1845" spans="1:3" x14ac:dyDescent="0.35">
      <c r="A1845" t="s">
        <v>322</v>
      </c>
      <c r="B1845" s="128">
        <v>42611</v>
      </c>
      <c r="C1845">
        <v>11581.83</v>
      </c>
    </row>
    <row r="1846" spans="1:3" x14ac:dyDescent="0.35">
      <c r="A1846" t="s">
        <v>322</v>
      </c>
      <c r="B1846" s="128">
        <v>42608</v>
      </c>
      <c r="C1846">
        <v>11534.92</v>
      </c>
    </row>
    <row r="1847" spans="1:3" x14ac:dyDescent="0.35">
      <c r="A1847" t="s">
        <v>322</v>
      </c>
      <c r="B1847" s="128">
        <v>42607</v>
      </c>
      <c r="C1847">
        <v>11561.34</v>
      </c>
    </row>
    <row r="1848" spans="1:3" x14ac:dyDescent="0.35">
      <c r="A1848" t="s">
        <v>322</v>
      </c>
      <c r="B1848" s="128">
        <v>42606</v>
      </c>
      <c r="C1848">
        <v>11639.48</v>
      </c>
    </row>
    <row r="1849" spans="1:3" x14ac:dyDescent="0.35">
      <c r="A1849" t="s">
        <v>322</v>
      </c>
      <c r="B1849" s="128">
        <v>42605</v>
      </c>
      <c r="C1849">
        <v>11615.7</v>
      </c>
    </row>
    <row r="1850" spans="1:3" x14ac:dyDescent="0.35">
      <c r="A1850" t="s">
        <v>322</v>
      </c>
      <c r="B1850" s="128">
        <v>42604</v>
      </c>
      <c r="C1850">
        <v>11611.02</v>
      </c>
    </row>
    <row r="1851" spans="1:3" x14ac:dyDescent="0.35">
      <c r="A1851" t="s">
        <v>322</v>
      </c>
      <c r="B1851" s="128">
        <v>42601</v>
      </c>
      <c r="C1851">
        <v>11661.82</v>
      </c>
    </row>
    <row r="1852" spans="1:3" x14ac:dyDescent="0.35">
      <c r="A1852" t="s">
        <v>322</v>
      </c>
      <c r="B1852" s="128">
        <v>42600</v>
      </c>
      <c r="C1852">
        <v>11670.37</v>
      </c>
    </row>
    <row r="1853" spans="1:3" x14ac:dyDescent="0.35">
      <c r="A1853" t="s">
        <v>322</v>
      </c>
      <c r="B1853" s="128">
        <v>42599</v>
      </c>
      <c r="C1853">
        <v>11598.72</v>
      </c>
    </row>
    <row r="1854" spans="1:3" x14ac:dyDescent="0.35">
      <c r="A1854" t="s">
        <v>322</v>
      </c>
      <c r="B1854" s="128">
        <v>42598</v>
      </c>
      <c r="C1854">
        <v>11623.61</v>
      </c>
    </row>
    <row r="1855" spans="1:3" x14ac:dyDescent="0.35">
      <c r="A1855" t="s">
        <v>322</v>
      </c>
      <c r="B1855" s="128">
        <v>42594</v>
      </c>
      <c r="C1855">
        <v>11663.43</v>
      </c>
    </row>
    <row r="1856" spans="1:3" x14ac:dyDescent="0.35">
      <c r="A1856" t="s">
        <v>322</v>
      </c>
      <c r="B1856" s="128">
        <v>42593</v>
      </c>
      <c r="C1856">
        <v>11555.84</v>
      </c>
    </row>
    <row r="1857" spans="1:3" x14ac:dyDescent="0.35">
      <c r="A1857" t="s">
        <v>322</v>
      </c>
      <c r="B1857" s="128">
        <v>42592</v>
      </c>
      <c r="C1857">
        <v>11532.49</v>
      </c>
    </row>
    <row r="1858" spans="1:3" x14ac:dyDescent="0.35">
      <c r="A1858" t="s">
        <v>322</v>
      </c>
      <c r="B1858" s="128">
        <v>42591</v>
      </c>
      <c r="C1858">
        <v>11669.7</v>
      </c>
    </row>
    <row r="1859" spans="1:3" x14ac:dyDescent="0.35">
      <c r="A1859" t="s">
        <v>322</v>
      </c>
      <c r="B1859" s="128">
        <v>42590</v>
      </c>
      <c r="C1859">
        <v>11713.58</v>
      </c>
    </row>
    <row r="1860" spans="1:3" x14ac:dyDescent="0.35">
      <c r="A1860" t="s">
        <v>322</v>
      </c>
      <c r="B1860" s="128">
        <v>42587</v>
      </c>
      <c r="C1860">
        <v>11675.68</v>
      </c>
    </row>
    <row r="1861" spans="1:3" x14ac:dyDescent="0.35">
      <c r="A1861" t="s">
        <v>322</v>
      </c>
      <c r="B1861" s="128">
        <v>42586</v>
      </c>
      <c r="C1861">
        <v>11498.13</v>
      </c>
    </row>
    <row r="1862" spans="1:3" x14ac:dyDescent="0.35">
      <c r="A1862" t="s">
        <v>322</v>
      </c>
      <c r="B1862" s="128">
        <v>42585</v>
      </c>
      <c r="C1862">
        <v>11489.74</v>
      </c>
    </row>
    <row r="1863" spans="1:3" x14ac:dyDescent="0.35">
      <c r="A1863" t="s">
        <v>322</v>
      </c>
      <c r="B1863" s="128">
        <v>42584</v>
      </c>
      <c r="C1863">
        <v>11594.65</v>
      </c>
    </row>
    <row r="1864" spans="1:3" x14ac:dyDescent="0.35">
      <c r="A1864" t="s">
        <v>322</v>
      </c>
      <c r="B1864" s="128">
        <v>42583</v>
      </c>
      <c r="C1864">
        <v>11612.19</v>
      </c>
    </row>
    <row r="1865" spans="1:3" x14ac:dyDescent="0.35">
      <c r="A1865" t="s">
        <v>322</v>
      </c>
      <c r="B1865" s="128">
        <v>42580</v>
      </c>
      <c r="C1865">
        <v>11614.8</v>
      </c>
    </row>
    <row r="1866" spans="1:3" x14ac:dyDescent="0.35">
      <c r="A1866" t="s">
        <v>322</v>
      </c>
      <c r="B1866" s="128">
        <v>42579</v>
      </c>
      <c r="C1866">
        <v>11652.18</v>
      </c>
    </row>
    <row r="1867" spans="1:3" x14ac:dyDescent="0.35">
      <c r="A1867" t="s">
        <v>322</v>
      </c>
      <c r="B1867" s="128">
        <v>42578</v>
      </c>
      <c r="C1867">
        <v>11579.64</v>
      </c>
    </row>
    <row r="1868" spans="1:3" x14ac:dyDescent="0.35">
      <c r="A1868" t="s">
        <v>322</v>
      </c>
      <c r="B1868" s="128">
        <v>42577</v>
      </c>
      <c r="C1868">
        <v>11545.78</v>
      </c>
    </row>
    <row r="1869" spans="1:3" x14ac:dyDescent="0.35">
      <c r="A1869" t="s">
        <v>322</v>
      </c>
      <c r="B1869" s="128">
        <v>42576</v>
      </c>
      <c r="C1869">
        <v>11606.29</v>
      </c>
    </row>
    <row r="1870" spans="1:3" x14ac:dyDescent="0.35">
      <c r="A1870" t="s">
        <v>322</v>
      </c>
      <c r="B1870" s="128">
        <v>42573</v>
      </c>
      <c r="C1870">
        <v>11477.47</v>
      </c>
    </row>
    <row r="1871" spans="1:3" x14ac:dyDescent="0.35">
      <c r="A1871" t="s">
        <v>322</v>
      </c>
      <c r="B1871" s="128">
        <v>42572</v>
      </c>
      <c r="C1871">
        <v>11435.64</v>
      </c>
    </row>
    <row r="1872" spans="1:3" x14ac:dyDescent="0.35">
      <c r="A1872" t="s">
        <v>322</v>
      </c>
      <c r="B1872" s="128">
        <v>42571</v>
      </c>
      <c r="C1872">
        <v>11508.07</v>
      </c>
    </row>
    <row r="1873" spans="1:3" x14ac:dyDescent="0.35">
      <c r="A1873" t="s">
        <v>322</v>
      </c>
      <c r="B1873" s="128">
        <v>42570</v>
      </c>
      <c r="C1873">
        <v>11457.95</v>
      </c>
    </row>
    <row r="1874" spans="1:3" x14ac:dyDescent="0.35">
      <c r="A1874" t="s">
        <v>322</v>
      </c>
      <c r="B1874" s="128">
        <v>42569</v>
      </c>
      <c r="C1874">
        <v>11431.25</v>
      </c>
    </row>
    <row r="1875" spans="1:3" x14ac:dyDescent="0.35">
      <c r="A1875" t="s">
        <v>322</v>
      </c>
      <c r="B1875" s="128">
        <v>42566</v>
      </c>
      <c r="C1875">
        <v>11474.04</v>
      </c>
    </row>
    <row r="1876" spans="1:3" x14ac:dyDescent="0.35">
      <c r="A1876" t="s">
        <v>322</v>
      </c>
      <c r="B1876" s="128">
        <v>42565</v>
      </c>
      <c r="C1876">
        <v>11497.65</v>
      </c>
    </row>
    <row r="1877" spans="1:3" x14ac:dyDescent="0.35">
      <c r="A1877" t="s">
        <v>322</v>
      </c>
      <c r="B1877" s="128">
        <v>42564</v>
      </c>
      <c r="C1877">
        <v>11436.09</v>
      </c>
    </row>
    <row r="1878" spans="1:3" x14ac:dyDescent="0.35">
      <c r="A1878" t="s">
        <v>322</v>
      </c>
      <c r="B1878" s="128">
        <v>42563</v>
      </c>
      <c r="C1878">
        <v>11438.19</v>
      </c>
    </row>
    <row r="1879" spans="1:3" x14ac:dyDescent="0.35">
      <c r="A1879" t="s">
        <v>322</v>
      </c>
      <c r="B1879" s="128">
        <v>42562</v>
      </c>
      <c r="C1879">
        <v>11366.82</v>
      </c>
    </row>
    <row r="1880" spans="1:3" x14ac:dyDescent="0.35">
      <c r="A1880" t="s">
        <v>322</v>
      </c>
      <c r="B1880" s="128">
        <v>42559</v>
      </c>
      <c r="C1880">
        <v>11172.39</v>
      </c>
    </row>
    <row r="1881" spans="1:3" x14ac:dyDescent="0.35">
      <c r="A1881" t="s">
        <v>322</v>
      </c>
      <c r="B1881" s="128">
        <v>42558</v>
      </c>
      <c r="C1881">
        <v>11192.11</v>
      </c>
    </row>
    <row r="1882" spans="1:3" x14ac:dyDescent="0.35">
      <c r="A1882" t="s">
        <v>322</v>
      </c>
      <c r="B1882" s="128">
        <v>42556</v>
      </c>
      <c r="C1882">
        <v>11186.41</v>
      </c>
    </row>
    <row r="1883" spans="1:3" x14ac:dyDescent="0.35">
      <c r="A1883" t="s">
        <v>322</v>
      </c>
      <c r="B1883" s="128">
        <v>42555</v>
      </c>
      <c r="C1883">
        <v>11233.09</v>
      </c>
    </row>
    <row r="1884" spans="1:3" x14ac:dyDescent="0.35">
      <c r="A1884" t="s">
        <v>322</v>
      </c>
      <c r="B1884" s="128">
        <v>42552</v>
      </c>
      <c r="C1884">
        <v>11175.85</v>
      </c>
    </row>
    <row r="1885" spans="1:3" x14ac:dyDescent="0.35">
      <c r="A1885" t="s">
        <v>322</v>
      </c>
      <c r="B1885" s="128">
        <v>42551</v>
      </c>
      <c r="C1885">
        <v>11121.39</v>
      </c>
    </row>
    <row r="1886" spans="1:3" x14ac:dyDescent="0.35">
      <c r="A1886" t="s">
        <v>322</v>
      </c>
      <c r="B1886" s="128">
        <v>42550</v>
      </c>
      <c r="C1886">
        <v>11009.02</v>
      </c>
    </row>
    <row r="1887" spans="1:3" x14ac:dyDescent="0.35">
      <c r="A1887" t="s">
        <v>322</v>
      </c>
      <c r="B1887" s="128">
        <v>42549</v>
      </c>
      <c r="C1887">
        <v>10899.91</v>
      </c>
    </row>
    <row r="1888" spans="1:3" x14ac:dyDescent="0.35">
      <c r="A1888" t="s">
        <v>322</v>
      </c>
      <c r="B1888" s="128">
        <v>42548</v>
      </c>
      <c r="C1888">
        <v>10855.5</v>
      </c>
    </row>
    <row r="1889" spans="1:3" x14ac:dyDescent="0.35">
      <c r="A1889" t="s">
        <v>322</v>
      </c>
      <c r="B1889" s="128">
        <v>42545</v>
      </c>
      <c r="C1889">
        <v>10847.29</v>
      </c>
    </row>
    <row r="1890" spans="1:3" x14ac:dyDescent="0.35">
      <c r="A1890" t="s">
        <v>322</v>
      </c>
      <c r="B1890" s="128">
        <v>42544</v>
      </c>
      <c r="C1890">
        <v>11091.16</v>
      </c>
    </row>
    <row r="1891" spans="1:3" x14ac:dyDescent="0.35">
      <c r="A1891" t="s">
        <v>322</v>
      </c>
      <c r="B1891" s="128">
        <v>42543</v>
      </c>
      <c r="C1891">
        <v>11000.82</v>
      </c>
    </row>
    <row r="1892" spans="1:3" x14ac:dyDescent="0.35">
      <c r="A1892" t="s">
        <v>322</v>
      </c>
      <c r="B1892" s="128">
        <v>42542</v>
      </c>
      <c r="C1892">
        <v>11020.11</v>
      </c>
    </row>
    <row r="1893" spans="1:3" x14ac:dyDescent="0.35">
      <c r="A1893" t="s">
        <v>322</v>
      </c>
      <c r="B1893" s="128">
        <v>42541</v>
      </c>
      <c r="C1893">
        <v>11045.03</v>
      </c>
    </row>
    <row r="1894" spans="1:3" x14ac:dyDescent="0.35">
      <c r="A1894" t="s">
        <v>322</v>
      </c>
      <c r="B1894" s="128">
        <v>42538</v>
      </c>
      <c r="C1894">
        <v>10953.44</v>
      </c>
    </row>
    <row r="1895" spans="1:3" x14ac:dyDescent="0.35">
      <c r="A1895" t="s">
        <v>322</v>
      </c>
      <c r="B1895" s="128">
        <v>42537</v>
      </c>
      <c r="C1895">
        <v>10913.97</v>
      </c>
    </row>
    <row r="1896" spans="1:3" x14ac:dyDescent="0.35">
      <c r="A1896" t="s">
        <v>322</v>
      </c>
      <c r="B1896" s="128">
        <v>42536</v>
      </c>
      <c r="C1896">
        <v>10990.64</v>
      </c>
    </row>
    <row r="1897" spans="1:3" x14ac:dyDescent="0.35">
      <c r="A1897" t="s">
        <v>322</v>
      </c>
      <c r="B1897" s="128">
        <v>42535</v>
      </c>
      <c r="C1897">
        <v>10859.76</v>
      </c>
    </row>
    <row r="1898" spans="1:3" x14ac:dyDescent="0.35">
      <c r="A1898" t="s">
        <v>322</v>
      </c>
      <c r="B1898" s="128">
        <v>42534</v>
      </c>
      <c r="C1898">
        <v>10862.06</v>
      </c>
    </row>
    <row r="1899" spans="1:3" x14ac:dyDescent="0.35">
      <c r="A1899" t="s">
        <v>322</v>
      </c>
      <c r="B1899" s="128">
        <v>42531</v>
      </c>
      <c r="C1899">
        <v>10941.7</v>
      </c>
    </row>
    <row r="1900" spans="1:3" x14ac:dyDescent="0.35">
      <c r="A1900" t="s">
        <v>322</v>
      </c>
      <c r="B1900" s="128">
        <v>42530</v>
      </c>
      <c r="C1900">
        <v>10986.64</v>
      </c>
    </row>
    <row r="1901" spans="1:3" x14ac:dyDescent="0.35">
      <c r="A1901" t="s">
        <v>322</v>
      </c>
      <c r="B1901" s="128">
        <v>42529</v>
      </c>
      <c r="C1901">
        <v>11068.75</v>
      </c>
    </row>
    <row r="1902" spans="1:3" x14ac:dyDescent="0.35">
      <c r="A1902" t="s">
        <v>322</v>
      </c>
      <c r="B1902" s="128">
        <v>42528</v>
      </c>
      <c r="C1902">
        <v>11059.93</v>
      </c>
    </row>
    <row r="1903" spans="1:3" x14ac:dyDescent="0.35">
      <c r="A1903" t="s">
        <v>322</v>
      </c>
      <c r="B1903" s="128">
        <v>42527</v>
      </c>
      <c r="C1903">
        <v>10972.45</v>
      </c>
    </row>
    <row r="1904" spans="1:3" x14ac:dyDescent="0.35">
      <c r="A1904" t="s">
        <v>322</v>
      </c>
      <c r="B1904" s="128">
        <v>42524</v>
      </c>
      <c r="C1904">
        <v>10992.21</v>
      </c>
    </row>
    <row r="1905" spans="1:3" x14ac:dyDescent="0.35">
      <c r="A1905" t="s">
        <v>322</v>
      </c>
      <c r="B1905" s="128">
        <v>42523</v>
      </c>
      <c r="C1905">
        <v>10986.77</v>
      </c>
    </row>
    <row r="1906" spans="1:3" x14ac:dyDescent="0.35">
      <c r="A1906" t="s">
        <v>322</v>
      </c>
      <c r="B1906" s="128">
        <v>42522</v>
      </c>
      <c r="C1906">
        <v>10934.62</v>
      </c>
    </row>
    <row r="1907" spans="1:3" x14ac:dyDescent="0.35">
      <c r="A1907" t="s">
        <v>322</v>
      </c>
      <c r="B1907" s="128">
        <v>42521</v>
      </c>
      <c r="C1907">
        <v>10908.07</v>
      </c>
    </row>
    <row r="1908" spans="1:3" x14ac:dyDescent="0.35">
      <c r="A1908" t="s">
        <v>322</v>
      </c>
      <c r="B1908" s="128">
        <v>42520</v>
      </c>
      <c r="C1908">
        <v>10932.7</v>
      </c>
    </row>
    <row r="1909" spans="1:3" x14ac:dyDescent="0.35">
      <c r="A1909" t="s">
        <v>322</v>
      </c>
      <c r="B1909" s="128">
        <v>42517</v>
      </c>
      <c r="C1909">
        <v>10884.88</v>
      </c>
    </row>
    <row r="1910" spans="1:3" x14ac:dyDescent="0.35">
      <c r="A1910" t="s">
        <v>322</v>
      </c>
      <c r="B1910" s="128">
        <v>42516</v>
      </c>
      <c r="C1910">
        <v>10768.78</v>
      </c>
    </row>
    <row r="1911" spans="1:3" x14ac:dyDescent="0.35">
      <c r="A1911" t="s">
        <v>322</v>
      </c>
      <c r="B1911" s="128">
        <v>42515</v>
      </c>
      <c r="C1911">
        <v>10588.92</v>
      </c>
    </row>
    <row r="1912" spans="1:3" x14ac:dyDescent="0.35">
      <c r="A1912" t="s">
        <v>322</v>
      </c>
      <c r="B1912" s="128">
        <v>42514</v>
      </c>
      <c r="C1912">
        <v>10340.65</v>
      </c>
    </row>
    <row r="1913" spans="1:3" x14ac:dyDescent="0.35">
      <c r="A1913" t="s">
        <v>322</v>
      </c>
      <c r="B1913" s="128">
        <v>42513</v>
      </c>
      <c r="C1913">
        <v>10316.91</v>
      </c>
    </row>
    <row r="1914" spans="1:3" x14ac:dyDescent="0.35">
      <c r="A1914" t="s">
        <v>322</v>
      </c>
      <c r="B1914" s="128">
        <v>42510</v>
      </c>
      <c r="C1914">
        <v>10341.790000000001</v>
      </c>
    </row>
    <row r="1915" spans="1:3" x14ac:dyDescent="0.35">
      <c r="A1915" t="s">
        <v>322</v>
      </c>
      <c r="B1915" s="128">
        <v>42509</v>
      </c>
      <c r="C1915">
        <v>10386.75</v>
      </c>
    </row>
    <row r="1916" spans="1:3" x14ac:dyDescent="0.35">
      <c r="A1916" t="s">
        <v>322</v>
      </c>
      <c r="B1916" s="128">
        <v>42508</v>
      </c>
      <c r="C1916">
        <v>10502.51</v>
      </c>
    </row>
    <row r="1917" spans="1:3" x14ac:dyDescent="0.35">
      <c r="A1917" t="s">
        <v>322</v>
      </c>
      <c r="B1917" s="128">
        <v>42507</v>
      </c>
      <c r="C1917">
        <v>10530.03</v>
      </c>
    </row>
    <row r="1918" spans="1:3" x14ac:dyDescent="0.35">
      <c r="A1918" t="s">
        <v>322</v>
      </c>
      <c r="B1918" s="128">
        <v>42506</v>
      </c>
      <c r="C1918">
        <v>10489.97</v>
      </c>
    </row>
    <row r="1919" spans="1:3" x14ac:dyDescent="0.35">
      <c r="A1919" t="s">
        <v>322</v>
      </c>
      <c r="B1919" s="128">
        <v>42503</v>
      </c>
      <c r="C1919">
        <v>10428.780000000001</v>
      </c>
    </row>
    <row r="1920" spans="1:3" x14ac:dyDescent="0.35">
      <c r="A1920" t="s">
        <v>322</v>
      </c>
      <c r="B1920" s="128">
        <v>42502</v>
      </c>
      <c r="C1920">
        <v>10542.93</v>
      </c>
    </row>
    <row r="1921" spans="1:3" x14ac:dyDescent="0.35">
      <c r="A1921" t="s">
        <v>322</v>
      </c>
      <c r="B1921" s="128">
        <v>42501</v>
      </c>
      <c r="C1921">
        <v>10474.1</v>
      </c>
    </row>
    <row r="1922" spans="1:3" x14ac:dyDescent="0.35">
      <c r="A1922" t="s">
        <v>322</v>
      </c>
      <c r="B1922" s="128">
        <v>42500</v>
      </c>
      <c r="C1922">
        <v>10526.11</v>
      </c>
    </row>
    <row r="1923" spans="1:3" x14ac:dyDescent="0.35">
      <c r="A1923" t="s">
        <v>322</v>
      </c>
      <c r="B1923" s="128">
        <v>42499</v>
      </c>
      <c r="C1923">
        <v>10497.09</v>
      </c>
    </row>
    <row r="1924" spans="1:3" x14ac:dyDescent="0.35">
      <c r="A1924" t="s">
        <v>322</v>
      </c>
      <c r="B1924" s="128">
        <v>42496</v>
      </c>
      <c r="C1924">
        <v>10320.120000000001</v>
      </c>
    </row>
    <row r="1925" spans="1:3" x14ac:dyDescent="0.35">
      <c r="A1925" t="s">
        <v>322</v>
      </c>
      <c r="B1925" s="128">
        <v>42495</v>
      </c>
      <c r="C1925">
        <v>10322.82</v>
      </c>
    </row>
    <row r="1926" spans="1:3" x14ac:dyDescent="0.35">
      <c r="A1926" t="s">
        <v>322</v>
      </c>
      <c r="B1926" s="128">
        <v>42494</v>
      </c>
      <c r="C1926">
        <v>10283.01</v>
      </c>
    </row>
    <row r="1927" spans="1:3" x14ac:dyDescent="0.35">
      <c r="A1927" t="s">
        <v>322</v>
      </c>
      <c r="B1927" s="128">
        <v>42493</v>
      </c>
      <c r="C1927">
        <v>10336.969999999999</v>
      </c>
    </row>
    <row r="1928" spans="1:3" x14ac:dyDescent="0.35">
      <c r="A1928" t="s">
        <v>322</v>
      </c>
      <c r="B1928" s="128">
        <v>42492</v>
      </c>
      <c r="C1928">
        <v>10415.52</v>
      </c>
    </row>
    <row r="1929" spans="1:3" x14ac:dyDescent="0.35">
      <c r="A1929" t="s">
        <v>322</v>
      </c>
      <c r="B1929" s="128">
        <v>42489</v>
      </c>
      <c r="C1929">
        <v>10474.15</v>
      </c>
    </row>
    <row r="1930" spans="1:3" x14ac:dyDescent="0.35">
      <c r="A1930" t="s">
        <v>322</v>
      </c>
      <c r="B1930" s="128">
        <v>42488</v>
      </c>
      <c r="C1930">
        <v>10470.709999999999</v>
      </c>
    </row>
    <row r="1931" spans="1:3" x14ac:dyDescent="0.35">
      <c r="A1931" t="s">
        <v>322</v>
      </c>
      <c r="B1931" s="128">
        <v>42487</v>
      </c>
      <c r="C1931">
        <v>10647.74</v>
      </c>
    </row>
    <row r="1932" spans="1:3" x14ac:dyDescent="0.35">
      <c r="A1932" t="s">
        <v>322</v>
      </c>
      <c r="B1932" s="128">
        <v>42486</v>
      </c>
      <c r="C1932">
        <v>10624.72</v>
      </c>
    </row>
    <row r="1933" spans="1:3" x14ac:dyDescent="0.35">
      <c r="A1933" t="s">
        <v>322</v>
      </c>
      <c r="B1933" s="128">
        <v>42485</v>
      </c>
      <c r="C1933">
        <v>10481.120000000001</v>
      </c>
    </row>
    <row r="1934" spans="1:3" x14ac:dyDescent="0.35">
      <c r="A1934" t="s">
        <v>322</v>
      </c>
      <c r="B1934" s="128">
        <v>42482</v>
      </c>
      <c r="C1934">
        <v>10540.19</v>
      </c>
    </row>
    <row r="1935" spans="1:3" x14ac:dyDescent="0.35">
      <c r="A1935" t="s">
        <v>322</v>
      </c>
      <c r="B1935" s="128">
        <v>42481</v>
      </c>
      <c r="C1935">
        <v>10557.22</v>
      </c>
    </row>
    <row r="1936" spans="1:3" x14ac:dyDescent="0.35">
      <c r="A1936" t="s">
        <v>322</v>
      </c>
      <c r="B1936" s="128">
        <v>42480</v>
      </c>
      <c r="C1936">
        <v>10560.79</v>
      </c>
    </row>
    <row r="1937" spans="1:3" x14ac:dyDescent="0.35">
      <c r="A1937" t="s">
        <v>322</v>
      </c>
      <c r="B1937" s="128">
        <v>42478</v>
      </c>
      <c r="C1937">
        <v>10560.74</v>
      </c>
    </row>
    <row r="1938" spans="1:3" x14ac:dyDescent="0.35">
      <c r="A1938" t="s">
        <v>322</v>
      </c>
      <c r="B1938" s="128">
        <v>42473</v>
      </c>
      <c r="C1938">
        <v>10475.02</v>
      </c>
    </row>
    <row r="1939" spans="1:3" x14ac:dyDescent="0.35">
      <c r="A1939" t="s">
        <v>322</v>
      </c>
      <c r="B1939" s="128">
        <v>42472</v>
      </c>
      <c r="C1939">
        <v>10286.18</v>
      </c>
    </row>
    <row r="1940" spans="1:3" x14ac:dyDescent="0.35">
      <c r="A1940" t="s">
        <v>322</v>
      </c>
      <c r="B1940" s="128">
        <v>42471</v>
      </c>
      <c r="C1940">
        <v>10236.11</v>
      </c>
    </row>
    <row r="1941" spans="1:3" x14ac:dyDescent="0.35">
      <c r="A1941" t="s">
        <v>322</v>
      </c>
      <c r="B1941" s="128">
        <v>42468</v>
      </c>
      <c r="C1941">
        <v>10081.01</v>
      </c>
    </row>
    <row r="1942" spans="1:3" x14ac:dyDescent="0.35">
      <c r="A1942" t="s">
        <v>322</v>
      </c>
      <c r="B1942" s="128">
        <v>42467</v>
      </c>
      <c r="C1942">
        <v>10069.36</v>
      </c>
    </row>
    <row r="1943" spans="1:3" x14ac:dyDescent="0.35">
      <c r="A1943" t="s">
        <v>322</v>
      </c>
      <c r="B1943" s="128">
        <v>42466</v>
      </c>
      <c r="C1943">
        <v>10159.98</v>
      </c>
    </row>
    <row r="1944" spans="1:3" x14ac:dyDescent="0.35">
      <c r="A1944" t="s">
        <v>322</v>
      </c>
      <c r="B1944" s="128">
        <v>42465</v>
      </c>
      <c r="C1944">
        <v>10145.1</v>
      </c>
    </row>
    <row r="1945" spans="1:3" x14ac:dyDescent="0.35">
      <c r="A1945" t="s">
        <v>322</v>
      </c>
      <c r="B1945" s="128">
        <v>42464</v>
      </c>
      <c r="C1945">
        <v>10352.69</v>
      </c>
    </row>
    <row r="1946" spans="1:3" x14ac:dyDescent="0.35">
      <c r="A1946" t="s">
        <v>322</v>
      </c>
      <c r="B1946" s="128">
        <v>42461</v>
      </c>
      <c r="C1946">
        <v>10291.69</v>
      </c>
    </row>
    <row r="1947" spans="1:3" x14ac:dyDescent="0.35">
      <c r="A1947" t="s">
        <v>322</v>
      </c>
      <c r="B1947" s="128">
        <v>42460</v>
      </c>
      <c r="C1947">
        <v>10325.5</v>
      </c>
    </row>
    <row r="1948" spans="1:3" x14ac:dyDescent="0.35">
      <c r="A1948" t="s">
        <v>322</v>
      </c>
      <c r="B1948" s="128">
        <v>42459</v>
      </c>
      <c r="C1948">
        <v>10321.200000000001</v>
      </c>
    </row>
    <row r="1949" spans="1:3" x14ac:dyDescent="0.35">
      <c r="A1949" t="s">
        <v>322</v>
      </c>
      <c r="B1949" s="128">
        <v>42458</v>
      </c>
      <c r="C1949">
        <v>10135.49</v>
      </c>
    </row>
    <row r="1950" spans="1:3" x14ac:dyDescent="0.35">
      <c r="A1950" t="s">
        <v>322</v>
      </c>
      <c r="B1950" s="128">
        <v>42457</v>
      </c>
      <c r="C1950">
        <v>10159.66</v>
      </c>
    </row>
    <row r="1951" spans="1:3" x14ac:dyDescent="0.35">
      <c r="A1951" t="s">
        <v>322</v>
      </c>
      <c r="B1951" s="128">
        <v>42452</v>
      </c>
      <c r="C1951">
        <v>10294.93</v>
      </c>
    </row>
    <row r="1952" spans="1:3" x14ac:dyDescent="0.35">
      <c r="A1952" t="s">
        <v>322</v>
      </c>
      <c r="B1952" s="128">
        <v>42451</v>
      </c>
      <c r="C1952">
        <v>10292.77</v>
      </c>
    </row>
    <row r="1953" spans="1:3" x14ac:dyDescent="0.35">
      <c r="A1953" t="s">
        <v>322</v>
      </c>
      <c r="B1953" s="128">
        <v>42450</v>
      </c>
      <c r="C1953">
        <v>10278.299999999999</v>
      </c>
    </row>
    <row r="1954" spans="1:3" x14ac:dyDescent="0.35">
      <c r="A1954" t="s">
        <v>322</v>
      </c>
      <c r="B1954" s="128">
        <v>42447</v>
      </c>
      <c r="C1954">
        <v>10143.6</v>
      </c>
    </row>
    <row r="1955" spans="1:3" x14ac:dyDescent="0.35">
      <c r="A1955" t="s">
        <v>322</v>
      </c>
      <c r="B1955" s="128">
        <v>42446</v>
      </c>
      <c r="C1955">
        <v>10021.129999999999</v>
      </c>
    </row>
    <row r="1956" spans="1:3" x14ac:dyDescent="0.35">
      <c r="A1956" t="s">
        <v>322</v>
      </c>
      <c r="B1956" s="128">
        <v>42445</v>
      </c>
      <c r="C1956">
        <v>9997.9</v>
      </c>
    </row>
    <row r="1957" spans="1:3" x14ac:dyDescent="0.35">
      <c r="A1957" t="s">
        <v>322</v>
      </c>
      <c r="B1957" s="128">
        <v>42444</v>
      </c>
      <c r="C1957">
        <v>9944.76</v>
      </c>
    </row>
    <row r="1958" spans="1:3" x14ac:dyDescent="0.35">
      <c r="A1958" t="s">
        <v>322</v>
      </c>
      <c r="B1958" s="128">
        <v>42443</v>
      </c>
      <c r="C1958">
        <v>10048.89</v>
      </c>
    </row>
    <row r="1959" spans="1:3" x14ac:dyDescent="0.35">
      <c r="A1959" t="s">
        <v>322</v>
      </c>
      <c r="B1959" s="128">
        <v>42440</v>
      </c>
      <c r="C1959">
        <v>10001.18</v>
      </c>
    </row>
    <row r="1960" spans="1:3" x14ac:dyDescent="0.35">
      <c r="A1960" t="s">
        <v>322</v>
      </c>
      <c r="B1960" s="128">
        <v>42439</v>
      </c>
      <c r="C1960">
        <v>9969.15</v>
      </c>
    </row>
    <row r="1961" spans="1:3" x14ac:dyDescent="0.35">
      <c r="A1961" t="s">
        <v>322</v>
      </c>
      <c r="B1961" s="128">
        <v>42438</v>
      </c>
      <c r="C1961">
        <v>10029.959999999999</v>
      </c>
    </row>
    <row r="1962" spans="1:3" x14ac:dyDescent="0.35">
      <c r="A1962" t="s">
        <v>322</v>
      </c>
      <c r="B1962" s="128">
        <v>42437</v>
      </c>
      <c r="C1962">
        <v>9967.99</v>
      </c>
    </row>
    <row r="1963" spans="1:3" x14ac:dyDescent="0.35">
      <c r="A1963" t="s">
        <v>322</v>
      </c>
      <c r="B1963" s="128">
        <v>42433</v>
      </c>
      <c r="C1963">
        <v>9968.09</v>
      </c>
    </row>
    <row r="1964" spans="1:3" x14ac:dyDescent="0.35">
      <c r="A1964" t="s">
        <v>322</v>
      </c>
      <c r="B1964" s="128">
        <v>42432</v>
      </c>
      <c r="C1964">
        <v>9955.1</v>
      </c>
    </row>
    <row r="1965" spans="1:3" x14ac:dyDescent="0.35">
      <c r="A1965" t="s">
        <v>322</v>
      </c>
      <c r="B1965" s="128">
        <v>42431</v>
      </c>
      <c r="C1965">
        <v>9812.68</v>
      </c>
    </row>
    <row r="1966" spans="1:3" x14ac:dyDescent="0.35">
      <c r="A1966" t="s">
        <v>322</v>
      </c>
      <c r="B1966" s="128">
        <v>42430</v>
      </c>
      <c r="C1966">
        <v>9617.51</v>
      </c>
    </row>
    <row r="1967" spans="1:3" x14ac:dyDescent="0.35">
      <c r="A1967" t="s">
        <v>322</v>
      </c>
      <c r="B1967" s="128">
        <v>42429</v>
      </c>
      <c r="C1967">
        <v>9304.26</v>
      </c>
    </row>
    <row r="1968" spans="1:3" x14ac:dyDescent="0.35">
      <c r="A1968" t="s">
        <v>322</v>
      </c>
      <c r="B1968" s="128">
        <v>42426</v>
      </c>
      <c r="C1968">
        <v>9361.1</v>
      </c>
    </row>
    <row r="1969" spans="1:3" x14ac:dyDescent="0.35">
      <c r="A1969" t="s">
        <v>322</v>
      </c>
      <c r="B1969" s="128">
        <v>42425</v>
      </c>
      <c r="C1969">
        <v>9282.3799999999992</v>
      </c>
    </row>
    <row r="1970" spans="1:3" x14ac:dyDescent="0.35">
      <c r="A1970" t="s">
        <v>322</v>
      </c>
      <c r="B1970" s="128">
        <v>42424</v>
      </c>
      <c r="C1970">
        <v>9346.39</v>
      </c>
    </row>
    <row r="1971" spans="1:3" x14ac:dyDescent="0.35">
      <c r="A1971" t="s">
        <v>322</v>
      </c>
      <c r="B1971" s="128">
        <v>42423</v>
      </c>
      <c r="C1971">
        <v>9467.41</v>
      </c>
    </row>
    <row r="1972" spans="1:3" x14ac:dyDescent="0.35">
      <c r="A1972" t="s">
        <v>322</v>
      </c>
      <c r="B1972" s="128">
        <v>42422</v>
      </c>
      <c r="C1972">
        <v>9633.83</v>
      </c>
    </row>
    <row r="1973" spans="1:3" x14ac:dyDescent="0.35">
      <c r="A1973" t="s">
        <v>322</v>
      </c>
      <c r="B1973" s="128">
        <v>42419</v>
      </c>
      <c r="C1973">
        <v>9601.77</v>
      </c>
    </row>
    <row r="1974" spans="1:3" x14ac:dyDescent="0.35">
      <c r="A1974" t="s">
        <v>322</v>
      </c>
      <c r="B1974" s="128">
        <v>42418</v>
      </c>
      <c r="C1974">
        <v>9576.4599999999991</v>
      </c>
    </row>
    <row r="1975" spans="1:3" x14ac:dyDescent="0.35">
      <c r="A1975" t="s">
        <v>322</v>
      </c>
      <c r="B1975" s="128">
        <v>42417</v>
      </c>
      <c r="C1975">
        <v>9465.52</v>
      </c>
    </row>
    <row r="1976" spans="1:3" x14ac:dyDescent="0.35">
      <c r="A1976" t="s">
        <v>322</v>
      </c>
      <c r="B1976" s="128">
        <v>42416</v>
      </c>
      <c r="C1976">
        <v>9385.36</v>
      </c>
    </row>
    <row r="1977" spans="1:3" x14ac:dyDescent="0.35">
      <c r="A1977" t="s">
        <v>322</v>
      </c>
      <c r="B1977" s="128">
        <v>42415</v>
      </c>
      <c r="C1977">
        <v>9537.74</v>
      </c>
    </row>
    <row r="1978" spans="1:3" x14ac:dyDescent="0.35">
      <c r="A1978" t="s">
        <v>322</v>
      </c>
      <c r="B1978" s="128">
        <v>42412</v>
      </c>
      <c r="C1978">
        <v>9295.41</v>
      </c>
    </row>
    <row r="1979" spans="1:3" x14ac:dyDescent="0.35">
      <c r="A1979" t="s">
        <v>322</v>
      </c>
      <c r="B1979" s="128">
        <v>42411</v>
      </c>
      <c r="C1979">
        <v>9289.2900000000009</v>
      </c>
    </row>
    <row r="1980" spans="1:3" x14ac:dyDescent="0.35">
      <c r="A1980" t="s">
        <v>322</v>
      </c>
      <c r="B1980" s="128">
        <v>42410</v>
      </c>
      <c r="C1980">
        <v>9607.98</v>
      </c>
    </row>
    <row r="1981" spans="1:3" x14ac:dyDescent="0.35">
      <c r="A1981" t="s">
        <v>322</v>
      </c>
      <c r="B1981" s="128">
        <v>42409</v>
      </c>
      <c r="C1981">
        <v>9717.8700000000008</v>
      </c>
    </row>
    <row r="1982" spans="1:3" x14ac:dyDescent="0.35">
      <c r="A1982" t="s">
        <v>322</v>
      </c>
      <c r="B1982" s="128">
        <v>42408</v>
      </c>
      <c r="C1982">
        <v>9836.41</v>
      </c>
    </row>
    <row r="1983" spans="1:3" x14ac:dyDescent="0.35">
      <c r="A1983" t="s">
        <v>322</v>
      </c>
      <c r="B1983" s="128">
        <v>42405</v>
      </c>
      <c r="C1983">
        <v>9972.0499999999993</v>
      </c>
    </row>
    <row r="1984" spans="1:3" x14ac:dyDescent="0.35">
      <c r="A1984" t="s">
        <v>322</v>
      </c>
      <c r="B1984" s="128">
        <v>42404</v>
      </c>
      <c r="C1984">
        <v>9857.82</v>
      </c>
    </row>
    <row r="1985" spans="1:3" x14ac:dyDescent="0.35">
      <c r="A1985" t="s">
        <v>322</v>
      </c>
      <c r="B1985" s="128">
        <v>42403</v>
      </c>
      <c r="C1985">
        <v>9801.6200000000008</v>
      </c>
    </row>
    <row r="1986" spans="1:3" x14ac:dyDescent="0.35">
      <c r="A1986" t="s">
        <v>322</v>
      </c>
      <c r="B1986" s="128">
        <v>42402</v>
      </c>
      <c r="C1986">
        <v>9925.98</v>
      </c>
    </row>
    <row r="1987" spans="1:3" x14ac:dyDescent="0.35">
      <c r="A1987" t="s">
        <v>322</v>
      </c>
      <c r="B1987" s="128">
        <v>42401</v>
      </c>
      <c r="C1987">
        <v>10058.69</v>
      </c>
    </row>
    <row r="1988" spans="1:3" x14ac:dyDescent="0.35">
      <c r="A1988" t="s">
        <v>322</v>
      </c>
      <c r="B1988" s="128">
        <v>42398</v>
      </c>
      <c r="C1988">
        <v>10068.86</v>
      </c>
    </row>
    <row r="1989" spans="1:3" x14ac:dyDescent="0.35">
      <c r="A1989" t="s">
        <v>322</v>
      </c>
      <c r="B1989" s="128">
        <v>42397</v>
      </c>
      <c r="C1989">
        <v>9883.94</v>
      </c>
    </row>
    <row r="1990" spans="1:3" x14ac:dyDescent="0.35">
      <c r="A1990" t="s">
        <v>322</v>
      </c>
      <c r="B1990" s="128">
        <v>42396</v>
      </c>
      <c r="C1990">
        <v>9901.35</v>
      </c>
    </row>
    <row r="1991" spans="1:3" x14ac:dyDescent="0.35">
      <c r="A1991" t="s">
        <v>322</v>
      </c>
      <c r="B1991" s="128">
        <v>42394</v>
      </c>
      <c r="C1991">
        <v>9898.2800000000007</v>
      </c>
    </row>
    <row r="1992" spans="1:3" x14ac:dyDescent="0.35">
      <c r="A1992" t="s">
        <v>322</v>
      </c>
      <c r="B1992" s="128">
        <v>42391</v>
      </c>
      <c r="C1992">
        <v>9879.1299999999992</v>
      </c>
    </row>
    <row r="1993" spans="1:3" x14ac:dyDescent="0.35">
      <c r="A1993" t="s">
        <v>322</v>
      </c>
      <c r="B1993" s="128">
        <v>42390</v>
      </c>
      <c r="C1993">
        <v>9685.2900000000009</v>
      </c>
    </row>
    <row r="1994" spans="1:3" x14ac:dyDescent="0.35">
      <c r="A1994" t="s">
        <v>322</v>
      </c>
      <c r="B1994" s="128">
        <v>42389</v>
      </c>
      <c r="C1994">
        <v>9727.77</v>
      </c>
    </row>
    <row r="1995" spans="1:3" x14ac:dyDescent="0.35">
      <c r="A1995" t="s">
        <v>322</v>
      </c>
      <c r="B1995" s="128">
        <v>42388</v>
      </c>
      <c r="C1995">
        <v>9895.18</v>
      </c>
    </row>
    <row r="1996" spans="1:3" x14ac:dyDescent="0.35">
      <c r="A1996" t="s">
        <v>322</v>
      </c>
      <c r="B1996" s="128">
        <v>42387</v>
      </c>
      <c r="C1996">
        <v>9783.26</v>
      </c>
    </row>
    <row r="1997" spans="1:3" x14ac:dyDescent="0.35">
      <c r="A1997" t="s">
        <v>322</v>
      </c>
      <c r="B1997" s="128">
        <v>42384</v>
      </c>
      <c r="C1997">
        <v>9898.7999999999993</v>
      </c>
    </row>
    <row r="1998" spans="1:3" x14ac:dyDescent="0.35">
      <c r="A1998" t="s">
        <v>322</v>
      </c>
      <c r="B1998" s="128">
        <v>42383</v>
      </c>
      <c r="C1998">
        <v>10030.530000000001</v>
      </c>
    </row>
    <row r="1999" spans="1:3" x14ac:dyDescent="0.35">
      <c r="A1999" t="s">
        <v>322</v>
      </c>
      <c r="B1999" s="128">
        <v>42382</v>
      </c>
      <c r="C1999">
        <v>10064.620000000001</v>
      </c>
    </row>
    <row r="2000" spans="1:3" x14ac:dyDescent="0.35">
      <c r="A2000" t="s">
        <v>322</v>
      </c>
      <c r="B2000" s="128">
        <v>42381</v>
      </c>
      <c r="C2000">
        <v>9995.25</v>
      </c>
    </row>
    <row r="2001" spans="1:3" x14ac:dyDescent="0.35">
      <c r="A2001" t="s">
        <v>322</v>
      </c>
      <c r="B2001" s="128">
        <v>42380</v>
      </c>
      <c r="C2001">
        <v>10066.57</v>
      </c>
    </row>
    <row r="2002" spans="1:3" x14ac:dyDescent="0.35">
      <c r="A2002" t="s">
        <v>322</v>
      </c>
      <c r="B2002" s="128">
        <v>42377</v>
      </c>
      <c r="C2002">
        <v>10116.450000000001</v>
      </c>
    </row>
    <row r="2003" spans="1:3" x14ac:dyDescent="0.35">
      <c r="A2003" t="s">
        <v>322</v>
      </c>
      <c r="B2003" s="128">
        <v>42376</v>
      </c>
      <c r="C2003">
        <v>10072.450000000001</v>
      </c>
    </row>
    <row r="2004" spans="1:3" x14ac:dyDescent="0.35">
      <c r="A2004" t="s">
        <v>322</v>
      </c>
      <c r="B2004" s="128">
        <v>42375</v>
      </c>
      <c r="C2004">
        <v>10302.32</v>
      </c>
    </row>
    <row r="2005" spans="1:3" x14ac:dyDescent="0.35">
      <c r="A2005" t="s">
        <v>322</v>
      </c>
      <c r="B2005" s="128">
        <v>42374</v>
      </c>
      <c r="C2005">
        <v>10360.42</v>
      </c>
    </row>
    <row r="2006" spans="1:3" x14ac:dyDescent="0.35">
      <c r="A2006" t="s">
        <v>322</v>
      </c>
      <c r="B2006" s="128">
        <v>42373</v>
      </c>
      <c r="C2006">
        <v>10369.24</v>
      </c>
    </row>
    <row r="2007" spans="1:3" x14ac:dyDescent="0.35">
      <c r="A2007" t="s">
        <v>322</v>
      </c>
      <c r="B2007" s="128">
        <v>42370</v>
      </c>
      <c r="C2007">
        <v>10598</v>
      </c>
    </row>
    <row r="2008" spans="1:3" x14ac:dyDescent="0.35">
      <c r="A2008" t="s">
        <v>322</v>
      </c>
      <c r="B2008" s="128">
        <v>42369</v>
      </c>
      <c r="C2008">
        <v>10575.63</v>
      </c>
    </row>
    <row r="2009" spans="1:3" x14ac:dyDescent="0.35">
      <c r="A2009" t="s">
        <v>322</v>
      </c>
      <c r="B2009" s="128">
        <v>42368</v>
      </c>
      <c r="C2009">
        <v>10508.91</v>
      </c>
    </row>
    <row r="2010" spans="1:3" x14ac:dyDescent="0.35">
      <c r="A2010" t="s">
        <v>322</v>
      </c>
      <c r="B2010" s="128">
        <v>42367</v>
      </c>
      <c r="C2010">
        <v>10552.46</v>
      </c>
    </row>
    <row r="2011" spans="1:3" x14ac:dyDescent="0.35">
      <c r="A2011" t="s">
        <v>322</v>
      </c>
      <c r="B2011" s="128">
        <v>42366</v>
      </c>
      <c r="C2011">
        <v>10547.37</v>
      </c>
    </row>
    <row r="2012" spans="1:3" x14ac:dyDescent="0.35">
      <c r="A2012" t="s">
        <v>322</v>
      </c>
      <c r="B2012" s="128">
        <v>42362</v>
      </c>
      <c r="C2012">
        <v>10462.08</v>
      </c>
    </row>
    <row r="2013" spans="1:3" x14ac:dyDescent="0.35">
      <c r="A2013" t="s">
        <v>322</v>
      </c>
      <c r="B2013" s="128">
        <v>42361</v>
      </c>
      <c r="C2013">
        <v>10468.61</v>
      </c>
    </row>
    <row r="2014" spans="1:3" x14ac:dyDescent="0.35">
      <c r="A2014" t="s">
        <v>322</v>
      </c>
      <c r="B2014" s="128">
        <v>42360</v>
      </c>
      <c r="C2014">
        <v>10362.35</v>
      </c>
    </row>
    <row r="2015" spans="1:3" x14ac:dyDescent="0.35">
      <c r="A2015" t="s">
        <v>322</v>
      </c>
      <c r="B2015" s="128">
        <v>42359</v>
      </c>
      <c r="C2015">
        <v>10426.69</v>
      </c>
    </row>
    <row r="2016" spans="1:3" x14ac:dyDescent="0.35">
      <c r="A2016" t="s">
        <v>322</v>
      </c>
      <c r="B2016" s="128">
        <v>42356</v>
      </c>
      <c r="C2016">
        <v>10330.16</v>
      </c>
    </row>
    <row r="2017" spans="1:3" x14ac:dyDescent="0.35">
      <c r="A2017" t="s">
        <v>322</v>
      </c>
      <c r="B2017" s="128">
        <v>42355</v>
      </c>
      <c r="C2017">
        <v>10439.83</v>
      </c>
    </row>
    <row r="2018" spans="1:3" x14ac:dyDescent="0.35">
      <c r="A2018" t="s">
        <v>322</v>
      </c>
      <c r="B2018" s="128">
        <v>42354</v>
      </c>
      <c r="C2018">
        <v>10315.450000000001</v>
      </c>
    </row>
    <row r="2019" spans="1:3" x14ac:dyDescent="0.35">
      <c r="A2019" t="s">
        <v>322</v>
      </c>
      <c r="B2019" s="128">
        <v>42353</v>
      </c>
      <c r="C2019">
        <v>10248.91</v>
      </c>
    </row>
    <row r="2020" spans="1:3" x14ac:dyDescent="0.35">
      <c r="A2020" t="s">
        <v>322</v>
      </c>
      <c r="B2020" s="128">
        <v>42352</v>
      </c>
      <c r="C2020">
        <v>10181.25</v>
      </c>
    </row>
    <row r="2021" spans="1:3" x14ac:dyDescent="0.35">
      <c r="A2021" t="s">
        <v>322</v>
      </c>
      <c r="B2021" s="128">
        <v>42349</v>
      </c>
      <c r="C2021">
        <v>10128.57</v>
      </c>
    </row>
    <row r="2022" spans="1:3" x14ac:dyDescent="0.35">
      <c r="A2022" t="s">
        <v>322</v>
      </c>
      <c r="B2022" s="128">
        <v>42348</v>
      </c>
      <c r="C2022">
        <v>10225.540000000001</v>
      </c>
    </row>
    <row r="2023" spans="1:3" x14ac:dyDescent="0.35">
      <c r="A2023" t="s">
        <v>322</v>
      </c>
      <c r="B2023" s="128">
        <v>42347</v>
      </c>
      <c r="C2023">
        <v>10131.26</v>
      </c>
    </row>
    <row r="2024" spans="1:3" x14ac:dyDescent="0.35">
      <c r="A2024" t="s">
        <v>322</v>
      </c>
      <c r="B2024" s="128">
        <v>42346</v>
      </c>
      <c r="C2024">
        <v>10250.030000000001</v>
      </c>
    </row>
    <row r="2025" spans="1:3" x14ac:dyDescent="0.35">
      <c r="A2025" t="s">
        <v>322</v>
      </c>
      <c r="B2025" s="128">
        <v>42345</v>
      </c>
      <c r="C2025">
        <v>10334.77</v>
      </c>
    </row>
    <row r="2026" spans="1:3" x14ac:dyDescent="0.35">
      <c r="A2026" t="s">
        <v>322</v>
      </c>
      <c r="B2026" s="128">
        <v>42342</v>
      </c>
      <c r="C2026">
        <v>10356.709999999999</v>
      </c>
    </row>
    <row r="2027" spans="1:3" x14ac:dyDescent="0.35">
      <c r="A2027" t="s">
        <v>322</v>
      </c>
      <c r="B2027" s="128">
        <v>42341</v>
      </c>
      <c r="C2027">
        <v>10466.19</v>
      </c>
    </row>
    <row r="2028" spans="1:3" x14ac:dyDescent="0.35">
      <c r="A2028" t="s">
        <v>322</v>
      </c>
      <c r="B2028" s="128">
        <v>42340</v>
      </c>
      <c r="C2028">
        <v>10555.62</v>
      </c>
    </row>
    <row r="2029" spans="1:3" x14ac:dyDescent="0.35">
      <c r="A2029" t="s">
        <v>322</v>
      </c>
      <c r="B2029" s="128">
        <v>42339</v>
      </c>
      <c r="C2029">
        <v>10586.99</v>
      </c>
    </row>
    <row r="2030" spans="1:3" x14ac:dyDescent="0.35">
      <c r="A2030" t="s">
        <v>322</v>
      </c>
      <c r="B2030" s="128">
        <v>42338</v>
      </c>
      <c r="C2030">
        <v>10560.84</v>
      </c>
    </row>
    <row r="2031" spans="1:3" x14ac:dyDescent="0.35">
      <c r="A2031" t="s">
        <v>322</v>
      </c>
      <c r="B2031" s="128">
        <v>42335</v>
      </c>
      <c r="C2031">
        <v>10570.76</v>
      </c>
    </row>
    <row r="2032" spans="1:3" x14ac:dyDescent="0.35">
      <c r="A2032" t="s">
        <v>322</v>
      </c>
      <c r="B2032" s="128">
        <v>42334</v>
      </c>
      <c r="C2032">
        <v>10492.35</v>
      </c>
    </row>
    <row r="2033" spans="1:3" x14ac:dyDescent="0.35">
      <c r="A2033" t="s">
        <v>322</v>
      </c>
      <c r="B2033" s="128">
        <v>42332</v>
      </c>
      <c r="C2033">
        <v>10422.86</v>
      </c>
    </row>
    <row r="2034" spans="1:3" x14ac:dyDescent="0.35">
      <c r="A2034" t="s">
        <v>322</v>
      </c>
      <c r="B2034" s="128">
        <v>42331</v>
      </c>
      <c r="C2034">
        <v>10446.4</v>
      </c>
    </row>
    <row r="2035" spans="1:3" x14ac:dyDescent="0.35">
      <c r="A2035" t="s">
        <v>322</v>
      </c>
      <c r="B2035" s="128">
        <v>42328</v>
      </c>
      <c r="C2035">
        <v>10456.11</v>
      </c>
    </row>
    <row r="2036" spans="1:3" x14ac:dyDescent="0.35">
      <c r="A2036" t="s">
        <v>322</v>
      </c>
      <c r="B2036" s="128">
        <v>42327</v>
      </c>
      <c r="C2036">
        <v>10437.709999999999</v>
      </c>
    </row>
    <row r="2037" spans="1:3" x14ac:dyDescent="0.35">
      <c r="A2037" t="s">
        <v>322</v>
      </c>
      <c r="B2037" s="128">
        <v>42326</v>
      </c>
      <c r="C2037">
        <v>10290.030000000001</v>
      </c>
    </row>
    <row r="2038" spans="1:3" x14ac:dyDescent="0.35">
      <c r="A2038" t="s">
        <v>322</v>
      </c>
      <c r="B2038" s="128">
        <v>42325</v>
      </c>
      <c r="C2038">
        <v>10430.780000000001</v>
      </c>
    </row>
    <row r="2039" spans="1:3" x14ac:dyDescent="0.35">
      <c r="A2039" t="s">
        <v>322</v>
      </c>
      <c r="B2039" s="128">
        <v>42324</v>
      </c>
      <c r="C2039">
        <v>10389.64</v>
      </c>
    </row>
    <row r="2040" spans="1:3" x14ac:dyDescent="0.35">
      <c r="A2040" t="s">
        <v>322</v>
      </c>
      <c r="B2040" s="128">
        <v>42321</v>
      </c>
      <c r="C2040">
        <v>10330.6</v>
      </c>
    </row>
    <row r="2041" spans="1:3" x14ac:dyDescent="0.35">
      <c r="A2041" t="s">
        <v>322</v>
      </c>
      <c r="B2041" s="128">
        <v>42319</v>
      </c>
      <c r="C2041">
        <v>10414.07</v>
      </c>
    </row>
    <row r="2042" spans="1:3" x14ac:dyDescent="0.35">
      <c r="A2042" t="s">
        <v>322</v>
      </c>
      <c r="B2042" s="128">
        <v>42318</v>
      </c>
      <c r="C2042">
        <v>10358.65</v>
      </c>
    </row>
    <row r="2043" spans="1:3" x14ac:dyDescent="0.35">
      <c r="A2043" t="s">
        <v>322</v>
      </c>
      <c r="B2043" s="128">
        <v>42317</v>
      </c>
      <c r="C2043">
        <v>10531.91</v>
      </c>
    </row>
    <row r="2044" spans="1:3" x14ac:dyDescent="0.35">
      <c r="A2044" t="s">
        <v>322</v>
      </c>
      <c r="B2044" s="128">
        <v>42314</v>
      </c>
      <c r="C2044">
        <v>10583.88</v>
      </c>
    </row>
    <row r="2045" spans="1:3" x14ac:dyDescent="0.35">
      <c r="A2045" t="s">
        <v>322</v>
      </c>
      <c r="B2045" s="128">
        <v>42313</v>
      </c>
      <c r="C2045">
        <v>10585.41</v>
      </c>
    </row>
    <row r="2046" spans="1:3" x14ac:dyDescent="0.35">
      <c r="A2046" t="s">
        <v>322</v>
      </c>
      <c r="B2046" s="128">
        <v>42312</v>
      </c>
      <c r="C2046">
        <v>10698.19</v>
      </c>
    </row>
    <row r="2047" spans="1:3" x14ac:dyDescent="0.35">
      <c r="A2047" t="s">
        <v>322</v>
      </c>
      <c r="B2047" s="128">
        <v>42311</v>
      </c>
      <c r="C2047">
        <v>10725.48</v>
      </c>
    </row>
    <row r="2048" spans="1:3" x14ac:dyDescent="0.35">
      <c r="A2048" t="s">
        <v>322</v>
      </c>
      <c r="B2048" s="128">
        <v>42310</v>
      </c>
      <c r="C2048">
        <v>10712.32</v>
      </c>
    </row>
    <row r="2049" spans="1:3" x14ac:dyDescent="0.35">
      <c r="A2049" t="s">
        <v>322</v>
      </c>
      <c r="B2049" s="128">
        <v>42307</v>
      </c>
      <c r="C2049">
        <v>10732.25</v>
      </c>
    </row>
    <row r="2050" spans="1:3" x14ac:dyDescent="0.35">
      <c r="A2050" t="s">
        <v>322</v>
      </c>
      <c r="B2050" s="128">
        <v>42306</v>
      </c>
      <c r="C2050">
        <v>10792.35</v>
      </c>
    </row>
    <row r="2051" spans="1:3" x14ac:dyDescent="0.35">
      <c r="A2051" t="s">
        <v>322</v>
      </c>
      <c r="B2051" s="128">
        <v>42305</v>
      </c>
      <c r="C2051">
        <v>10871.42</v>
      </c>
    </row>
    <row r="2052" spans="1:3" x14ac:dyDescent="0.35">
      <c r="A2052" t="s">
        <v>322</v>
      </c>
      <c r="B2052" s="128">
        <v>42304</v>
      </c>
      <c r="C2052">
        <v>10953.26</v>
      </c>
    </row>
    <row r="2053" spans="1:3" x14ac:dyDescent="0.35">
      <c r="A2053" t="s">
        <v>322</v>
      </c>
      <c r="B2053" s="128">
        <v>42303</v>
      </c>
      <c r="C2053">
        <v>10990.02</v>
      </c>
    </row>
    <row r="2054" spans="1:3" x14ac:dyDescent="0.35">
      <c r="A2054" t="s">
        <v>322</v>
      </c>
      <c r="B2054" s="128">
        <v>42300</v>
      </c>
      <c r="C2054">
        <v>11036.44</v>
      </c>
    </row>
    <row r="2055" spans="1:3" x14ac:dyDescent="0.35">
      <c r="A2055" t="s">
        <v>322</v>
      </c>
      <c r="B2055" s="128">
        <v>42298</v>
      </c>
      <c r="C2055">
        <v>10976.65</v>
      </c>
    </row>
    <row r="2056" spans="1:3" x14ac:dyDescent="0.35">
      <c r="A2056" t="s">
        <v>322</v>
      </c>
      <c r="B2056" s="128">
        <v>42297</v>
      </c>
      <c r="C2056">
        <v>10989</v>
      </c>
    </row>
    <row r="2057" spans="1:3" x14ac:dyDescent="0.35">
      <c r="A2057" t="s">
        <v>322</v>
      </c>
      <c r="B2057" s="128">
        <v>42296</v>
      </c>
      <c r="C2057">
        <v>11006.79</v>
      </c>
    </row>
    <row r="2058" spans="1:3" x14ac:dyDescent="0.35">
      <c r="A2058" t="s">
        <v>322</v>
      </c>
      <c r="B2058" s="128">
        <v>42293</v>
      </c>
      <c r="C2058">
        <v>10956.47</v>
      </c>
    </row>
    <row r="2059" spans="1:3" x14ac:dyDescent="0.35">
      <c r="A2059" t="s">
        <v>322</v>
      </c>
      <c r="B2059" s="128">
        <v>42292</v>
      </c>
      <c r="C2059">
        <v>10872.82</v>
      </c>
    </row>
    <row r="2060" spans="1:3" x14ac:dyDescent="0.35">
      <c r="A2060" t="s">
        <v>322</v>
      </c>
      <c r="B2060" s="128">
        <v>42291</v>
      </c>
      <c r="C2060">
        <v>10777.67</v>
      </c>
    </row>
    <row r="2061" spans="1:3" x14ac:dyDescent="0.35">
      <c r="A2061" t="s">
        <v>322</v>
      </c>
      <c r="B2061" s="128">
        <v>42290</v>
      </c>
      <c r="C2061">
        <v>10809.32</v>
      </c>
    </row>
    <row r="2062" spans="1:3" x14ac:dyDescent="0.35">
      <c r="A2062" t="s">
        <v>322</v>
      </c>
      <c r="B2062" s="128">
        <v>42289</v>
      </c>
      <c r="C2062">
        <v>10825.14</v>
      </c>
    </row>
    <row r="2063" spans="1:3" x14ac:dyDescent="0.35">
      <c r="A2063" t="s">
        <v>322</v>
      </c>
      <c r="B2063" s="128">
        <v>42286</v>
      </c>
      <c r="C2063">
        <v>10886.38</v>
      </c>
    </row>
    <row r="2064" spans="1:3" x14ac:dyDescent="0.35">
      <c r="A2064" t="s">
        <v>322</v>
      </c>
      <c r="B2064" s="128">
        <v>42285</v>
      </c>
      <c r="C2064">
        <v>10806.18</v>
      </c>
    </row>
    <row r="2065" spans="1:3" x14ac:dyDescent="0.35">
      <c r="A2065" t="s">
        <v>322</v>
      </c>
      <c r="B2065" s="128">
        <v>42284</v>
      </c>
      <c r="C2065">
        <v>10870.04</v>
      </c>
    </row>
    <row r="2066" spans="1:3" x14ac:dyDescent="0.35">
      <c r="A2066" t="s">
        <v>322</v>
      </c>
      <c r="B2066" s="128">
        <v>42283</v>
      </c>
      <c r="C2066">
        <v>10837.5</v>
      </c>
    </row>
    <row r="2067" spans="1:3" x14ac:dyDescent="0.35">
      <c r="A2067" t="s">
        <v>322</v>
      </c>
      <c r="B2067" s="128">
        <v>42282</v>
      </c>
      <c r="C2067">
        <v>10792.79</v>
      </c>
    </row>
    <row r="2068" spans="1:3" x14ac:dyDescent="0.35">
      <c r="A2068" t="s">
        <v>322</v>
      </c>
      <c r="B2068" s="128">
        <v>42278</v>
      </c>
      <c r="C2068">
        <v>10568.94</v>
      </c>
    </row>
    <row r="2069" spans="1:3" x14ac:dyDescent="0.35">
      <c r="A2069" t="s">
        <v>322</v>
      </c>
      <c r="B2069" s="128">
        <v>42277</v>
      </c>
      <c r="C2069">
        <v>10566.29</v>
      </c>
    </row>
    <row r="2070" spans="1:3" x14ac:dyDescent="0.35">
      <c r="A2070" t="s">
        <v>322</v>
      </c>
      <c r="B2070" s="128">
        <v>42276</v>
      </c>
      <c r="C2070">
        <v>10425.93</v>
      </c>
    </row>
    <row r="2071" spans="1:3" x14ac:dyDescent="0.35">
      <c r="A2071" t="s">
        <v>322</v>
      </c>
      <c r="B2071" s="128">
        <v>42275</v>
      </c>
      <c r="C2071">
        <v>10362.68</v>
      </c>
    </row>
    <row r="2072" spans="1:3" x14ac:dyDescent="0.35">
      <c r="A2072" t="s">
        <v>322</v>
      </c>
      <c r="B2072" s="128">
        <v>42271</v>
      </c>
      <c r="C2072">
        <v>10459.44</v>
      </c>
    </row>
    <row r="2073" spans="1:3" x14ac:dyDescent="0.35">
      <c r="A2073" t="s">
        <v>322</v>
      </c>
      <c r="B2073" s="128">
        <v>42270</v>
      </c>
      <c r="C2073">
        <v>10429.44</v>
      </c>
    </row>
    <row r="2074" spans="1:3" x14ac:dyDescent="0.35">
      <c r="A2074" t="s">
        <v>322</v>
      </c>
      <c r="B2074" s="128">
        <v>42269</v>
      </c>
      <c r="C2074">
        <v>10384.35</v>
      </c>
    </row>
    <row r="2075" spans="1:3" x14ac:dyDescent="0.35">
      <c r="A2075" t="s">
        <v>322</v>
      </c>
      <c r="B2075" s="128">
        <v>42268</v>
      </c>
      <c r="C2075">
        <v>10603.8</v>
      </c>
    </row>
    <row r="2076" spans="1:3" x14ac:dyDescent="0.35">
      <c r="A2076" t="s">
        <v>322</v>
      </c>
      <c r="B2076" s="128">
        <v>42265</v>
      </c>
      <c r="C2076">
        <v>10609.87</v>
      </c>
    </row>
    <row r="2077" spans="1:3" x14ac:dyDescent="0.35">
      <c r="A2077" t="s">
        <v>322</v>
      </c>
      <c r="B2077" s="128">
        <v>42263</v>
      </c>
      <c r="C2077">
        <v>10499.73</v>
      </c>
    </row>
    <row r="2078" spans="1:3" x14ac:dyDescent="0.35">
      <c r="A2078" t="s">
        <v>322</v>
      </c>
      <c r="B2078" s="128">
        <v>42262</v>
      </c>
      <c r="C2078">
        <v>10406.56</v>
      </c>
    </row>
    <row r="2079" spans="1:3" x14ac:dyDescent="0.35">
      <c r="A2079" t="s">
        <v>322</v>
      </c>
      <c r="B2079" s="128">
        <v>42261</v>
      </c>
      <c r="C2079">
        <v>10463.93</v>
      </c>
    </row>
    <row r="2080" spans="1:3" x14ac:dyDescent="0.35">
      <c r="A2080" t="s">
        <v>322</v>
      </c>
      <c r="B2080" s="128">
        <v>42258</v>
      </c>
      <c r="C2080">
        <v>10353.540000000001</v>
      </c>
    </row>
    <row r="2081" spans="1:3" x14ac:dyDescent="0.35">
      <c r="A2081" t="s">
        <v>322</v>
      </c>
      <c r="B2081" s="128">
        <v>42257</v>
      </c>
      <c r="C2081">
        <v>10351.93</v>
      </c>
    </row>
    <row r="2082" spans="1:3" x14ac:dyDescent="0.35">
      <c r="A2082" t="s">
        <v>322</v>
      </c>
      <c r="B2082" s="128">
        <v>42256</v>
      </c>
      <c r="C2082">
        <v>10392.450000000001</v>
      </c>
    </row>
    <row r="2083" spans="1:3" x14ac:dyDescent="0.35">
      <c r="A2083" t="s">
        <v>322</v>
      </c>
      <c r="B2083" s="128">
        <v>42255</v>
      </c>
      <c r="C2083">
        <v>10219.209999999999</v>
      </c>
    </row>
    <row r="2084" spans="1:3" x14ac:dyDescent="0.35">
      <c r="A2084" t="s">
        <v>322</v>
      </c>
      <c r="B2084" s="128">
        <v>42254</v>
      </c>
      <c r="C2084">
        <v>10047.15</v>
      </c>
    </row>
    <row r="2085" spans="1:3" x14ac:dyDescent="0.35">
      <c r="A2085" t="s">
        <v>322</v>
      </c>
      <c r="B2085" s="128">
        <v>42251</v>
      </c>
      <c r="C2085">
        <v>10173.65</v>
      </c>
    </row>
    <row r="2086" spans="1:3" x14ac:dyDescent="0.35">
      <c r="A2086" t="s">
        <v>322</v>
      </c>
      <c r="B2086" s="128">
        <v>42250</v>
      </c>
      <c r="C2086">
        <v>10396.83</v>
      </c>
    </row>
    <row r="2087" spans="1:3" x14ac:dyDescent="0.35">
      <c r="A2087" t="s">
        <v>322</v>
      </c>
      <c r="B2087" s="128">
        <v>42249</v>
      </c>
      <c r="C2087">
        <v>10254.61</v>
      </c>
    </row>
    <row r="2088" spans="1:3" x14ac:dyDescent="0.35">
      <c r="A2088" t="s">
        <v>322</v>
      </c>
      <c r="B2088" s="128">
        <v>42248</v>
      </c>
      <c r="C2088">
        <v>10346.16</v>
      </c>
    </row>
    <row r="2089" spans="1:3" x14ac:dyDescent="0.35">
      <c r="A2089" t="s">
        <v>322</v>
      </c>
      <c r="B2089" s="128">
        <v>42247</v>
      </c>
      <c r="C2089">
        <v>10588.8</v>
      </c>
    </row>
    <row r="2090" spans="1:3" x14ac:dyDescent="0.35">
      <c r="A2090" t="s">
        <v>322</v>
      </c>
      <c r="B2090" s="128">
        <v>42244</v>
      </c>
      <c r="C2090">
        <v>10629.49</v>
      </c>
    </row>
    <row r="2091" spans="1:3" x14ac:dyDescent="0.35">
      <c r="A2091" t="s">
        <v>322</v>
      </c>
      <c r="B2091" s="128">
        <v>42243</v>
      </c>
      <c r="C2091">
        <v>10557.5</v>
      </c>
    </row>
    <row r="2092" spans="1:3" x14ac:dyDescent="0.35">
      <c r="A2092" t="s">
        <v>322</v>
      </c>
      <c r="B2092" s="128">
        <v>42242</v>
      </c>
      <c r="C2092">
        <v>10348.4</v>
      </c>
    </row>
    <row r="2093" spans="1:3" x14ac:dyDescent="0.35">
      <c r="A2093" t="s">
        <v>322</v>
      </c>
      <c r="B2093" s="128">
        <v>42241</v>
      </c>
      <c r="C2093">
        <v>10465.459999999999</v>
      </c>
    </row>
    <row r="2094" spans="1:3" x14ac:dyDescent="0.35">
      <c r="A2094" t="s">
        <v>322</v>
      </c>
      <c r="B2094" s="128">
        <v>42240</v>
      </c>
      <c r="C2094">
        <v>10370.27</v>
      </c>
    </row>
    <row r="2095" spans="1:3" x14ac:dyDescent="0.35">
      <c r="A2095" t="s">
        <v>322</v>
      </c>
      <c r="B2095" s="128">
        <v>42237</v>
      </c>
      <c r="C2095">
        <v>11022.22</v>
      </c>
    </row>
    <row r="2096" spans="1:3" x14ac:dyDescent="0.35">
      <c r="A2096" t="s">
        <v>322</v>
      </c>
      <c r="B2096" s="128">
        <v>42236</v>
      </c>
      <c r="C2096">
        <v>11118.95</v>
      </c>
    </row>
    <row r="2097" spans="1:3" x14ac:dyDescent="0.35">
      <c r="A2097" t="s">
        <v>322</v>
      </c>
      <c r="B2097" s="128">
        <v>42235</v>
      </c>
      <c r="C2097">
        <v>11281.26</v>
      </c>
    </row>
    <row r="2098" spans="1:3" x14ac:dyDescent="0.35">
      <c r="A2098" t="s">
        <v>322</v>
      </c>
      <c r="B2098" s="128">
        <v>42234</v>
      </c>
      <c r="C2098">
        <v>11243.28</v>
      </c>
    </row>
    <row r="2099" spans="1:3" x14ac:dyDescent="0.35">
      <c r="A2099" t="s">
        <v>322</v>
      </c>
      <c r="B2099" s="128">
        <v>42233</v>
      </c>
      <c r="C2099">
        <v>11257.56</v>
      </c>
    </row>
    <row r="2100" spans="1:3" x14ac:dyDescent="0.35">
      <c r="A2100" t="s">
        <v>322</v>
      </c>
      <c r="B2100" s="128">
        <v>42230</v>
      </c>
      <c r="C2100">
        <v>11312.32</v>
      </c>
    </row>
    <row r="2101" spans="1:3" x14ac:dyDescent="0.35">
      <c r="A2101" t="s">
        <v>322</v>
      </c>
      <c r="B2101" s="128">
        <v>42229</v>
      </c>
      <c r="C2101">
        <v>11095.98</v>
      </c>
    </row>
    <row r="2102" spans="1:3" x14ac:dyDescent="0.35">
      <c r="A2102" t="s">
        <v>322</v>
      </c>
      <c r="B2102" s="128">
        <v>42228</v>
      </c>
      <c r="C2102">
        <v>11086.67</v>
      </c>
    </row>
    <row r="2103" spans="1:3" x14ac:dyDescent="0.35">
      <c r="A2103" t="s">
        <v>322</v>
      </c>
      <c r="B2103" s="128">
        <v>42227</v>
      </c>
      <c r="C2103">
        <v>11236.57</v>
      </c>
    </row>
    <row r="2104" spans="1:3" x14ac:dyDescent="0.35">
      <c r="A2104" t="s">
        <v>322</v>
      </c>
      <c r="B2104" s="128">
        <v>42226</v>
      </c>
      <c r="C2104">
        <v>11320.25</v>
      </c>
    </row>
    <row r="2105" spans="1:3" x14ac:dyDescent="0.35">
      <c r="A2105" t="s">
        <v>322</v>
      </c>
      <c r="B2105" s="128">
        <v>42223</v>
      </c>
      <c r="C2105">
        <v>11372.02</v>
      </c>
    </row>
    <row r="2106" spans="1:3" x14ac:dyDescent="0.35">
      <c r="A2106" t="s">
        <v>322</v>
      </c>
      <c r="B2106" s="128">
        <v>42222</v>
      </c>
      <c r="C2106">
        <v>11402.67</v>
      </c>
    </row>
    <row r="2107" spans="1:3" x14ac:dyDescent="0.35">
      <c r="A2107" t="s">
        <v>322</v>
      </c>
      <c r="B2107" s="128">
        <v>42221</v>
      </c>
      <c r="C2107">
        <v>11375.18</v>
      </c>
    </row>
    <row r="2108" spans="1:3" x14ac:dyDescent="0.35">
      <c r="A2108" t="s">
        <v>322</v>
      </c>
      <c r="B2108" s="128">
        <v>42220</v>
      </c>
      <c r="C2108">
        <v>11307.41</v>
      </c>
    </row>
    <row r="2109" spans="1:3" x14ac:dyDescent="0.35">
      <c r="A2109" t="s">
        <v>322</v>
      </c>
      <c r="B2109" s="128">
        <v>42219</v>
      </c>
      <c r="C2109">
        <v>11342.11</v>
      </c>
    </row>
    <row r="2110" spans="1:3" x14ac:dyDescent="0.35">
      <c r="A2110" t="s">
        <v>322</v>
      </c>
      <c r="B2110" s="128">
        <v>42216</v>
      </c>
      <c r="C2110">
        <v>11328.56</v>
      </c>
    </row>
    <row r="2111" spans="1:3" x14ac:dyDescent="0.35">
      <c r="A2111" t="s">
        <v>322</v>
      </c>
      <c r="B2111" s="128">
        <v>42215</v>
      </c>
      <c r="C2111">
        <v>11180.79</v>
      </c>
    </row>
    <row r="2112" spans="1:3" x14ac:dyDescent="0.35">
      <c r="A2112" t="s">
        <v>322</v>
      </c>
      <c r="B2112" s="128">
        <v>42214</v>
      </c>
      <c r="C2112">
        <v>11118.71</v>
      </c>
    </row>
    <row r="2113" spans="1:3" x14ac:dyDescent="0.35">
      <c r="A2113" t="s">
        <v>322</v>
      </c>
      <c r="B2113" s="128">
        <v>42213</v>
      </c>
      <c r="C2113">
        <v>11068.18</v>
      </c>
    </row>
    <row r="2114" spans="1:3" x14ac:dyDescent="0.35">
      <c r="A2114" t="s">
        <v>322</v>
      </c>
      <c r="B2114" s="128">
        <v>42212</v>
      </c>
      <c r="C2114">
        <v>11100.03</v>
      </c>
    </row>
    <row r="2115" spans="1:3" x14ac:dyDescent="0.35">
      <c r="A2115" t="s">
        <v>322</v>
      </c>
      <c r="B2115" s="128">
        <v>42209</v>
      </c>
      <c r="C2115">
        <v>11313.22</v>
      </c>
    </row>
    <row r="2116" spans="1:3" x14ac:dyDescent="0.35">
      <c r="A2116" t="s">
        <v>322</v>
      </c>
      <c r="B2116" s="128">
        <v>42208</v>
      </c>
      <c r="C2116">
        <v>11403.83</v>
      </c>
    </row>
    <row r="2117" spans="1:3" x14ac:dyDescent="0.35">
      <c r="A2117" t="s">
        <v>322</v>
      </c>
      <c r="B2117" s="128">
        <v>42207</v>
      </c>
      <c r="C2117">
        <v>11459.27</v>
      </c>
    </row>
    <row r="2118" spans="1:3" x14ac:dyDescent="0.35">
      <c r="A2118" t="s">
        <v>322</v>
      </c>
      <c r="B2118" s="128">
        <v>42206</v>
      </c>
      <c r="C2118">
        <v>11320.88</v>
      </c>
    </row>
    <row r="2119" spans="1:3" x14ac:dyDescent="0.35">
      <c r="A2119" t="s">
        <v>322</v>
      </c>
      <c r="B2119" s="128">
        <v>42205</v>
      </c>
      <c r="C2119">
        <v>11419.13</v>
      </c>
    </row>
    <row r="2120" spans="1:3" x14ac:dyDescent="0.35">
      <c r="A2120" t="s">
        <v>322</v>
      </c>
      <c r="B2120" s="128">
        <v>42202</v>
      </c>
      <c r="C2120">
        <v>11424.87</v>
      </c>
    </row>
    <row r="2121" spans="1:3" x14ac:dyDescent="0.35">
      <c r="A2121" t="s">
        <v>322</v>
      </c>
      <c r="B2121" s="128">
        <v>42201</v>
      </c>
      <c r="C2121">
        <v>11422.48</v>
      </c>
    </row>
    <row r="2122" spans="1:3" x14ac:dyDescent="0.35">
      <c r="A2122" t="s">
        <v>322</v>
      </c>
      <c r="B2122" s="128">
        <v>42200</v>
      </c>
      <c r="C2122">
        <v>11309.1</v>
      </c>
    </row>
    <row r="2123" spans="1:3" x14ac:dyDescent="0.35">
      <c r="A2123" t="s">
        <v>322</v>
      </c>
      <c r="B2123" s="128">
        <v>42199</v>
      </c>
      <c r="C2123">
        <v>11210.85</v>
      </c>
    </row>
    <row r="2124" spans="1:3" x14ac:dyDescent="0.35">
      <c r="A2124" t="s">
        <v>322</v>
      </c>
      <c r="B2124" s="128">
        <v>42198</v>
      </c>
      <c r="C2124">
        <v>11217.67</v>
      </c>
    </row>
    <row r="2125" spans="1:3" x14ac:dyDescent="0.35">
      <c r="A2125" t="s">
        <v>322</v>
      </c>
      <c r="B2125" s="128">
        <v>42195</v>
      </c>
      <c r="C2125">
        <v>11086.29</v>
      </c>
    </row>
    <row r="2126" spans="1:3" x14ac:dyDescent="0.35">
      <c r="A2126" t="s">
        <v>322</v>
      </c>
      <c r="B2126" s="128">
        <v>42194</v>
      </c>
      <c r="C2126">
        <v>11043.14</v>
      </c>
    </row>
    <row r="2127" spans="1:3" x14ac:dyDescent="0.35">
      <c r="A2127" t="s">
        <v>322</v>
      </c>
      <c r="B2127" s="128">
        <v>42193</v>
      </c>
      <c r="C2127">
        <v>11084.34</v>
      </c>
    </row>
    <row r="2128" spans="1:3" x14ac:dyDescent="0.35">
      <c r="A2128" t="s">
        <v>322</v>
      </c>
      <c r="B2128" s="128">
        <v>42192</v>
      </c>
      <c r="C2128">
        <v>11279.56</v>
      </c>
    </row>
    <row r="2129" spans="1:3" x14ac:dyDescent="0.35">
      <c r="A2129" t="s">
        <v>322</v>
      </c>
      <c r="B2129" s="128">
        <v>42191</v>
      </c>
      <c r="C2129">
        <v>11294.6</v>
      </c>
    </row>
    <row r="2130" spans="1:3" x14ac:dyDescent="0.35">
      <c r="A2130" t="s">
        <v>322</v>
      </c>
      <c r="B2130" s="128">
        <v>42188</v>
      </c>
      <c r="C2130">
        <v>11244.49</v>
      </c>
    </row>
    <row r="2131" spans="1:3" x14ac:dyDescent="0.35">
      <c r="A2131" t="s">
        <v>322</v>
      </c>
      <c r="B2131" s="128">
        <v>42187</v>
      </c>
      <c r="C2131">
        <v>11191.5</v>
      </c>
    </row>
    <row r="2132" spans="1:3" x14ac:dyDescent="0.35">
      <c r="A2132" t="s">
        <v>322</v>
      </c>
      <c r="B2132" s="128">
        <v>42186</v>
      </c>
      <c r="C2132">
        <v>11197.83</v>
      </c>
    </row>
    <row r="2133" spans="1:3" x14ac:dyDescent="0.35">
      <c r="A2133" t="s">
        <v>322</v>
      </c>
      <c r="B2133" s="128">
        <v>42185</v>
      </c>
      <c r="C2133">
        <v>11085.87</v>
      </c>
    </row>
    <row r="2134" spans="1:3" x14ac:dyDescent="0.35">
      <c r="A2134" t="s">
        <v>322</v>
      </c>
      <c r="B2134" s="128">
        <v>42184</v>
      </c>
      <c r="C2134">
        <v>11019.47</v>
      </c>
    </row>
    <row r="2135" spans="1:3" x14ac:dyDescent="0.35">
      <c r="A2135" t="s">
        <v>322</v>
      </c>
      <c r="B2135" s="128">
        <v>42181</v>
      </c>
      <c r="C2135">
        <v>11102.52</v>
      </c>
    </row>
    <row r="2136" spans="1:3" x14ac:dyDescent="0.35">
      <c r="A2136" t="s">
        <v>322</v>
      </c>
      <c r="B2136" s="128">
        <v>42180</v>
      </c>
      <c r="C2136">
        <v>11124.95</v>
      </c>
    </row>
    <row r="2137" spans="1:3" x14ac:dyDescent="0.35">
      <c r="A2137" t="s">
        <v>322</v>
      </c>
      <c r="B2137" s="128">
        <v>42179</v>
      </c>
      <c r="C2137">
        <v>11075.71</v>
      </c>
    </row>
    <row r="2138" spans="1:3" x14ac:dyDescent="0.35">
      <c r="A2138" t="s">
        <v>322</v>
      </c>
      <c r="B2138" s="128">
        <v>42178</v>
      </c>
      <c r="C2138">
        <v>11102.6</v>
      </c>
    </row>
    <row r="2139" spans="1:3" x14ac:dyDescent="0.35">
      <c r="A2139" t="s">
        <v>322</v>
      </c>
      <c r="B2139" s="128">
        <v>42177</v>
      </c>
      <c r="C2139">
        <v>11064.89</v>
      </c>
    </row>
    <row r="2140" spans="1:3" x14ac:dyDescent="0.35">
      <c r="A2140" t="s">
        <v>322</v>
      </c>
      <c r="B2140" s="128">
        <v>42174</v>
      </c>
      <c r="C2140">
        <v>10894.44</v>
      </c>
    </row>
    <row r="2141" spans="1:3" x14ac:dyDescent="0.35">
      <c r="A2141" t="s">
        <v>322</v>
      </c>
      <c r="B2141" s="128">
        <v>42173</v>
      </c>
      <c r="C2141">
        <v>10825.96</v>
      </c>
    </row>
    <row r="2142" spans="1:3" x14ac:dyDescent="0.35">
      <c r="A2142" t="s">
        <v>322</v>
      </c>
      <c r="B2142" s="128">
        <v>42172</v>
      </c>
      <c r="C2142">
        <v>10715.85</v>
      </c>
    </row>
    <row r="2143" spans="1:3" x14ac:dyDescent="0.35">
      <c r="A2143" t="s">
        <v>322</v>
      </c>
      <c r="B2143" s="128">
        <v>42171</v>
      </c>
      <c r="C2143">
        <v>10657.23</v>
      </c>
    </row>
    <row r="2144" spans="1:3" x14ac:dyDescent="0.35">
      <c r="A2144" t="s">
        <v>322</v>
      </c>
      <c r="B2144" s="128">
        <v>42170</v>
      </c>
      <c r="C2144">
        <v>10612.12</v>
      </c>
    </row>
    <row r="2145" spans="1:3" x14ac:dyDescent="0.35">
      <c r="A2145" t="s">
        <v>322</v>
      </c>
      <c r="B2145" s="128">
        <v>42167</v>
      </c>
      <c r="C2145">
        <v>10562.76</v>
      </c>
    </row>
    <row r="2146" spans="1:3" x14ac:dyDescent="0.35">
      <c r="A2146" t="s">
        <v>322</v>
      </c>
      <c r="B2146" s="128">
        <v>42166</v>
      </c>
      <c r="C2146">
        <v>10539.53</v>
      </c>
    </row>
    <row r="2147" spans="1:3" x14ac:dyDescent="0.35">
      <c r="A2147" t="s">
        <v>322</v>
      </c>
      <c r="B2147" s="128">
        <v>42165</v>
      </c>
      <c r="C2147">
        <v>10750.07</v>
      </c>
    </row>
    <row r="2148" spans="1:3" x14ac:dyDescent="0.35">
      <c r="A2148" t="s">
        <v>322</v>
      </c>
      <c r="B2148" s="128">
        <v>42164</v>
      </c>
      <c r="C2148">
        <v>10615.01</v>
      </c>
    </row>
    <row r="2149" spans="1:3" x14ac:dyDescent="0.35">
      <c r="A2149" t="s">
        <v>322</v>
      </c>
      <c r="B2149" s="128">
        <v>42163</v>
      </c>
      <c r="C2149">
        <v>10643.82</v>
      </c>
    </row>
    <row r="2150" spans="1:3" x14ac:dyDescent="0.35">
      <c r="A2150" t="s">
        <v>322</v>
      </c>
      <c r="B2150" s="128">
        <v>42160</v>
      </c>
      <c r="C2150">
        <v>10737.17</v>
      </c>
    </row>
    <row r="2151" spans="1:3" x14ac:dyDescent="0.35">
      <c r="A2151" t="s">
        <v>322</v>
      </c>
      <c r="B2151" s="128">
        <v>42159</v>
      </c>
      <c r="C2151">
        <v>10754.83</v>
      </c>
    </row>
    <row r="2152" spans="1:3" x14ac:dyDescent="0.35">
      <c r="A2152" t="s">
        <v>322</v>
      </c>
      <c r="B2152" s="128">
        <v>42158</v>
      </c>
      <c r="C2152">
        <v>10752.52</v>
      </c>
    </row>
    <row r="2153" spans="1:3" x14ac:dyDescent="0.35">
      <c r="A2153" t="s">
        <v>322</v>
      </c>
      <c r="B2153" s="128">
        <v>42157</v>
      </c>
      <c r="C2153">
        <v>10876.52</v>
      </c>
    </row>
    <row r="2154" spans="1:3" x14ac:dyDescent="0.35">
      <c r="A2154" t="s">
        <v>322</v>
      </c>
      <c r="B2154" s="128">
        <v>42156</v>
      </c>
      <c r="C2154">
        <v>11136.64</v>
      </c>
    </row>
    <row r="2155" spans="1:3" x14ac:dyDescent="0.35">
      <c r="A2155" t="s">
        <v>322</v>
      </c>
      <c r="B2155" s="128">
        <v>42153</v>
      </c>
      <c r="C2155">
        <v>11135.85</v>
      </c>
    </row>
    <row r="2156" spans="1:3" x14ac:dyDescent="0.35">
      <c r="A2156" t="s">
        <v>322</v>
      </c>
      <c r="B2156" s="128">
        <v>42152</v>
      </c>
      <c r="C2156">
        <v>10984.45</v>
      </c>
    </row>
    <row r="2157" spans="1:3" x14ac:dyDescent="0.35">
      <c r="A2157" t="s">
        <v>322</v>
      </c>
      <c r="B2157" s="128">
        <v>42151</v>
      </c>
      <c r="C2157">
        <v>11001.96</v>
      </c>
    </row>
    <row r="2158" spans="1:3" x14ac:dyDescent="0.35">
      <c r="A2158" t="s">
        <v>322</v>
      </c>
      <c r="B2158" s="128">
        <v>42150</v>
      </c>
      <c r="C2158">
        <v>11008.25</v>
      </c>
    </row>
    <row r="2159" spans="1:3" x14ac:dyDescent="0.35">
      <c r="A2159" t="s">
        <v>322</v>
      </c>
      <c r="B2159" s="128">
        <v>42149</v>
      </c>
      <c r="C2159">
        <v>11049</v>
      </c>
    </row>
    <row r="2160" spans="1:3" x14ac:dyDescent="0.35">
      <c r="A2160" t="s">
        <v>322</v>
      </c>
      <c r="B2160" s="128">
        <v>42146</v>
      </c>
      <c r="C2160">
        <v>11166.12</v>
      </c>
    </row>
    <row r="2161" spans="1:3" x14ac:dyDescent="0.35">
      <c r="A2161" t="s">
        <v>322</v>
      </c>
      <c r="B2161" s="128">
        <v>42145</v>
      </c>
      <c r="C2161">
        <v>11116</v>
      </c>
    </row>
    <row r="2162" spans="1:3" x14ac:dyDescent="0.35">
      <c r="A2162" t="s">
        <v>322</v>
      </c>
      <c r="B2162" s="128">
        <v>42144</v>
      </c>
      <c r="C2162">
        <v>11118.14</v>
      </c>
    </row>
    <row r="2163" spans="1:3" x14ac:dyDescent="0.35">
      <c r="A2163" t="s">
        <v>322</v>
      </c>
      <c r="B2163" s="128">
        <v>42143</v>
      </c>
      <c r="C2163">
        <v>11042.12</v>
      </c>
    </row>
    <row r="2164" spans="1:3" x14ac:dyDescent="0.35">
      <c r="A2164" t="s">
        <v>322</v>
      </c>
      <c r="B2164" s="128">
        <v>42142</v>
      </c>
      <c r="C2164">
        <v>11052.7</v>
      </c>
    </row>
    <row r="2165" spans="1:3" x14ac:dyDescent="0.35">
      <c r="A2165" t="s">
        <v>322</v>
      </c>
      <c r="B2165" s="128">
        <v>42139</v>
      </c>
      <c r="C2165">
        <v>10905.75</v>
      </c>
    </row>
    <row r="2166" spans="1:3" x14ac:dyDescent="0.35">
      <c r="A2166" t="s">
        <v>322</v>
      </c>
      <c r="B2166" s="128">
        <v>42138</v>
      </c>
      <c r="C2166">
        <v>10855.42</v>
      </c>
    </row>
    <row r="2167" spans="1:3" x14ac:dyDescent="0.35">
      <c r="A2167" t="s">
        <v>322</v>
      </c>
      <c r="B2167" s="128">
        <v>42137</v>
      </c>
      <c r="C2167">
        <v>10870.3</v>
      </c>
    </row>
    <row r="2168" spans="1:3" x14ac:dyDescent="0.35">
      <c r="A2168" t="s">
        <v>322</v>
      </c>
      <c r="B2168" s="128">
        <v>42136</v>
      </c>
      <c r="C2168">
        <v>10727.03</v>
      </c>
    </row>
    <row r="2169" spans="1:3" x14ac:dyDescent="0.35">
      <c r="A2169" t="s">
        <v>322</v>
      </c>
      <c r="B2169" s="128">
        <v>42135</v>
      </c>
      <c r="C2169">
        <v>10988.82</v>
      </c>
    </row>
    <row r="2170" spans="1:3" x14ac:dyDescent="0.35">
      <c r="A2170" t="s">
        <v>322</v>
      </c>
      <c r="B2170" s="128">
        <v>42132</v>
      </c>
      <c r="C2170">
        <v>10812.25</v>
      </c>
    </row>
    <row r="2171" spans="1:3" x14ac:dyDescent="0.35">
      <c r="A2171" t="s">
        <v>322</v>
      </c>
      <c r="B2171" s="128">
        <v>42131</v>
      </c>
      <c r="C2171">
        <v>10630.43</v>
      </c>
    </row>
    <row r="2172" spans="1:3" x14ac:dyDescent="0.35">
      <c r="A2172" t="s">
        <v>322</v>
      </c>
      <c r="B2172" s="128">
        <v>42130</v>
      </c>
      <c r="C2172">
        <v>10682.81</v>
      </c>
    </row>
    <row r="2173" spans="1:3" x14ac:dyDescent="0.35">
      <c r="A2173" t="s">
        <v>322</v>
      </c>
      <c r="B2173" s="128">
        <v>42129</v>
      </c>
      <c r="C2173">
        <v>10983.33</v>
      </c>
    </row>
    <row r="2174" spans="1:3" x14ac:dyDescent="0.35">
      <c r="A2174" t="s">
        <v>322</v>
      </c>
      <c r="B2174" s="128">
        <v>42128</v>
      </c>
      <c r="C2174">
        <v>10992.81</v>
      </c>
    </row>
    <row r="2175" spans="1:3" x14ac:dyDescent="0.35">
      <c r="A2175" t="s">
        <v>322</v>
      </c>
      <c r="B2175" s="128">
        <v>42124</v>
      </c>
      <c r="C2175">
        <v>10794.27</v>
      </c>
    </row>
    <row r="2176" spans="1:3" x14ac:dyDescent="0.35">
      <c r="A2176" t="s">
        <v>322</v>
      </c>
      <c r="B2176" s="128">
        <v>42123</v>
      </c>
      <c r="C2176">
        <v>10871.15</v>
      </c>
    </row>
    <row r="2177" spans="1:3" x14ac:dyDescent="0.35">
      <c r="A2177" t="s">
        <v>322</v>
      </c>
      <c r="B2177" s="128">
        <v>42122</v>
      </c>
      <c r="C2177">
        <v>10931.63</v>
      </c>
    </row>
    <row r="2178" spans="1:3" x14ac:dyDescent="0.35">
      <c r="A2178" t="s">
        <v>322</v>
      </c>
      <c r="B2178" s="128">
        <v>42121</v>
      </c>
      <c r="C2178">
        <v>10836.88</v>
      </c>
    </row>
    <row r="2179" spans="1:3" x14ac:dyDescent="0.35">
      <c r="A2179" t="s">
        <v>322</v>
      </c>
      <c r="B2179" s="128">
        <v>42118</v>
      </c>
      <c r="C2179">
        <v>10957.58</v>
      </c>
    </row>
    <row r="2180" spans="1:3" x14ac:dyDescent="0.35">
      <c r="A2180" t="s">
        <v>322</v>
      </c>
      <c r="B2180" s="128">
        <v>42117</v>
      </c>
      <c r="C2180">
        <v>11079.67</v>
      </c>
    </row>
    <row r="2181" spans="1:3" x14ac:dyDescent="0.35">
      <c r="A2181" t="s">
        <v>322</v>
      </c>
      <c r="B2181" s="128">
        <v>42116</v>
      </c>
      <c r="C2181">
        <v>11121.12</v>
      </c>
    </row>
    <row r="2182" spans="1:3" x14ac:dyDescent="0.35">
      <c r="A2182" t="s">
        <v>322</v>
      </c>
      <c r="B2182" s="128">
        <v>42115</v>
      </c>
      <c r="C2182">
        <v>11052.56</v>
      </c>
    </row>
    <row r="2183" spans="1:3" x14ac:dyDescent="0.35">
      <c r="A2183" t="s">
        <v>322</v>
      </c>
      <c r="B2183" s="128">
        <v>42114</v>
      </c>
      <c r="C2183">
        <v>11145.37</v>
      </c>
    </row>
    <row r="2184" spans="1:3" x14ac:dyDescent="0.35">
      <c r="A2184" t="s">
        <v>322</v>
      </c>
      <c r="B2184" s="128">
        <v>42111</v>
      </c>
      <c r="C2184">
        <v>11353.68</v>
      </c>
    </row>
    <row r="2185" spans="1:3" x14ac:dyDescent="0.35">
      <c r="A2185" t="s">
        <v>322</v>
      </c>
      <c r="B2185" s="128">
        <v>42110</v>
      </c>
      <c r="C2185">
        <v>11486.56</v>
      </c>
    </row>
    <row r="2186" spans="1:3" x14ac:dyDescent="0.35">
      <c r="A2186" t="s">
        <v>322</v>
      </c>
      <c r="B2186" s="128">
        <v>42109</v>
      </c>
      <c r="C2186">
        <v>11543.96</v>
      </c>
    </row>
    <row r="2187" spans="1:3" x14ac:dyDescent="0.35">
      <c r="A2187" t="s">
        <v>322</v>
      </c>
      <c r="B2187" s="128">
        <v>42107</v>
      </c>
      <c r="C2187">
        <v>11654.49</v>
      </c>
    </row>
    <row r="2188" spans="1:3" x14ac:dyDescent="0.35">
      <c r="A2188" t="s">
        <v>322</v>
      </c>
      <c r="B2188" s="128">
        <v>42104</v>
      </c>
      <c r="C2188">
        <v>11583.75</v>
      </c>
    </row>
    <row r="2189" spans="1:3" x14ac:dyDescent="0.35">
      <c r="A2189" t="s">
        <v>322</v>
      </c>
      <c r="B2189" s="128">
        <v>42103</v>
      </c>
      <c r="C2189">
        <v>11581.01</v>
      </c>
    </row>
    <row r="2190" spans="1:3" x14ac:dyDescent="0.35">
      <c r="A2190" t="s">
        <v>322</v>
      </c>
      <c r="B2190" s="128">
        <v>42102</v>
      </c>
      <c r="C2190">
        <v>11496.74</v>
      </c>
    </row>
    <row r="2191" spans="1:3" x14ac:dyDescent="0.35">
      <c r="A2191" t="s">
        <v>322</v>
      </c>
      <c r="B2191" s="128">
        <v>42101</v>
      </c>
      <c r="C2191">
        <v>11425.33</v>
      </c>
    </row>
    <row r="2192" spans="1:3" x14ac:dyDescent="0.35">
      <c r="A2192" t="s">
        <v>322</v>
      </c>
      <c r="B2192" s="128">
        <v>42100</v>
      </c>
      <c r="C2192">
        <v>11424.83</v>
      </c>
    </row>
    <row r="2193" spans="1:3" x14ac:dyDescent="0.35">
      <c r="A2193" t="s">
        <v>322</v>
      </c>
      <c r="B2193" s="128">
        <v>42095</v>
      </c>
      <c r="C2193">
        <v>11327.63</v>
      </c>
    </row>
    <row r="2194" spans="1:3" x14ac:dyDescent="0.35">
      <c r="A2194" t="s">
        <v>322</v>
      </c>
      <c r="B2194" s="128">
        <v>42094</v>
      </c>
      <c r="C2194">
        <v>11201.99</v>
      </c>
    </row>
    <row r="2195" spans="1:3" x14ac:dyDescent="0.35">
      <c r="A2195" t="s">
        <v>322</v>
      </c>
      <c r="B2195" s="128">
        <v>42093</v>
      </c>
      <c r="C2195">
        <v>11203.71</v>
      </c>
    </row>
    <row r="2196" spans="1:3" x14ac:dyDescent="0.35">
      <c r="A2196" t="s">
        <v>322</v>
      </c>
      <c r="B2196" s="128">
        <v>42090</v>
      </c>
      <c r="C2196">
        <v>11004.63</v>
      </c>
    </row>
    <row r="2197" spans="1:3" x14ac:dyDescent="0.35">
      <c r="A2197" t="s">
        <v>322</v>
      </c>
      <c r="B2197" s="128">
        <v>42089</v>
      </c>
      <c r="C2197">
        <v>11005.59</v>
      </c>
    </row>
    <row r="2198" spans="1:3" x14ac:dyDescent="0.35">
      <c r="A2198" t="s">
        <v>322</v>
      </c>
      <c r="B2198" s="128">
        <v>42088</v>
      </c>
      <c r="C2198">
        <v>11254.51</v>
      </c>
    </row>
    <row r="2199" spans="1:3" x14ac:dyDescent="0.35">
      <c r="A2199" t="s">
        <v>322</v>
      </c>
      <c r="B2199" s="128">
        <v>42087</v>
      </c>
      <c r="C2199">
        <v>11269.62</v>
      </c>
    </row>
    <row r="2200" spans="1:3" x14ac:dyDescent="0.35">
      <c r="A2200" t="s">
        <v>322</v>
      </c>
      <c r="B2200" s="128">
        <v>42086</v>
      </c>
      <c r="C2200">
        <v>11277.98</v>
      </c>
    </row>
    <row r="2201" spans="1:3" x14ac:dyDescent="0.35">
      <c r="A2201" t="s">
        <v>322</v>
      </c>
      <c r="B2201" s="128">
        <v>42083</v>
      </c>
      <c r="C2201">
        <v>11304.37</v>
      </c>
    </row>
    <row r="2202" spans="1:3" x14ac:dyDescent="0.35">
      <c r="A2202" t="s">
        <v>322</v>
      </c>
      <c r="B2202" s="128">
        <v>42082</v>
      </c>
      <c r="C2202">
        <v>11380.91</v>
      </c>
    </row>
    <row r="2203" spans="1:3" x14ac:dyDescent="0.35">
      <c r="A2203" t="s">
        <v>322</v>
      </c>
      <c r="B2203" s="128">
        <v>42081</v>
      </c>
      <c r="C2203">
        <v>11448.46</v>
      </c>
    </row>
    <row r="2204" spans="1:3" x14ac:dyDescent="0.35">
      <c r="A2204" t="s">
        <v>322</v>
      </c>
      <c r="B2204" s="128">
        <v>42080</v>
      </c>
      <c r="C2204">
        <v>11497.78</v>
      </c>
    </row>
    <row r="2205" spans="1:3" x14ac:dyDescent="0.35">
      <c r="A2205" t="s">
        <v>322</v>
      </c>
      <c r="B2205" s="128">
        <v>42079</v>
      </c>
      <c r="C2205">
        <v>11378.97</v>
      </c>
    </row>
    <row r="2206" spans="1:3" x14ac:dyDescent="0.35">
      <c r="A2206" t="s">
        <v>322</v>
      </c>
      <c r="B2206" s="128">
        <v>42076</v>
      </c>
      <c r="C2206">
        <v>11398.21</v>
      </c>
    </row>
    <row r="2207" spans="1:3" x14ac:dyDescent="0.35">
      <c r="A2207" t="s">
        <v>322</v>
      </c>
      <c r="B2207" s="128">
        <v>42075</v>
      </c>
      <c r="C2207">
        <v>11567.25</v>
      </c>
    </row>
    <row r="2208" spans="1:3" x14ac:dyDescent="0.35">
      <c r="A2208" t="s">
        <v>322</v>
      </c>
      <c r="B2208" s="128">
        <v>42074</v>
      </c>
      <c r="C2208">
        <v>11466.5</v>
      </c>
    </row>
    <row r="2209" spans="1:3" x14ac:dyDescent="0.35">
      <c r="A2209" t="s">
        <v>322</v>
      </c>
      <c r="B2209" s="128">
        <v>42073</v>
      </c>
      <c r="C2209">
        <v>11482.4</v>
      </c>
    </row>
    <row r="2210" spans="1:3" x14ac:dyDescent="0.35">
      <c r="A2210" t="s">
        <v>322</v>
      </c>
      <c r="B2210" s="128">
        <v>42072</v>
      </c>
      <c r="C2210">
        <v>11541.34</v>
      </c>
    </row>
    <row r="2211" spans="1:3" x14ac:dyDescent="0.35">
      <c r="A2211" t="s">
        <v>322</v>
      </c>
      <c r="B2211" s="128">
        <v>42068</v>
      </c>
      <c r="C2211">
        <v>11779.43</v>
      </c>
    </row>
    <row r="2212" spans="1:3" x14ac:dyDescent="0.35">
      <c r="A2212" t="s">
        <v>322</v>
      </c>
      <c r="B2212" s="128">
        <v>42067</v>
      </c>
      <c r="C2212">
        <v>11759.58</v>
      </c>
    </row>
    <row r="2213" spans="1:3" x14ac:dyDescent="0.35">
      <c r="A2213" t="s">
        <v>322</v>
      </c>
      <c r="B2213" s="128">
        <v>42066</v>
      </c>
      <c r="C2213">
        <v>11856.58</v>
      </c>
    </row>
    <row r="2214" spans="1:3" x14ac:dyDescent="0.35">
      <c r="A2214" t="s">
        <v>322</v>
      </c>
      <c r="B2214" s="128">
        <v>42065</v>
      </c>
      <c r="C2214">
        <v>11796.73</v>
      </c>
    </row>
    <row r="2215" spans="1:3" x14ac:dyDescent="0.35">
      <c r="A2215" t="s">
        <v>322</v>
      </c>
      <c r="B2215" s="128">
        <v>42063</v>
      </c>
      <c r="C2215">
        <v>11723.28</v>
      </c>
    </row>
    <row r="2216" spans="1:3" x14ac:dyDescent="0.35">
      <c r="A2216" t="s">
        <v>322</v>
      </c>
      <c r="B2216" s="128">
        <v>42062</v>
      </c>
      <c r="C2216">
        <v>11647.9</v>
      </c>
    </row>
    <row r="2217" spans="1:3" x14ac:dyDescent="0.35">
      <c r="A2217" t="s">
        <v>322</v>
      </c>
      <c r="B2217" s="128">
        <v>42061</v>
      </c>
      <c r="C2217">
        <v>11436.2</v>
      </c>
    </row>
    <row r="2218" spans="1:3" x14ac:dyDescent="0.35">
      <c r="A2218" t="s">
        <v>322</v>
      </c>
      <c r="B2218" s="128">
        <v>42060</v>
      </c>
      <c r="C2218">
        <v>11546.02</v>
      </c>
    </row>
    <row r="2219" spans="1:3" x14ac:dyDescent="0.35">
      <c r="A2219" t="s">
        <v>322</v>
      </c>
      <c r="B2219" s="128">
        <v>42059</v>
      </c>
      <c r="C2219">
        <v>11539.22</v>
      </c>
    </row>
    <row r="2220" spans="1:3" x14ac:dyDescent="0.35">
      <c r="A2220" t="s">
        <v>322</v>
      </c>
      <c r="B2220" s="128">
        <v>42058</v>
      </c>
      <c r="C2220">
        <v>11529.79</v>
      </c>
    </row>
    <row r="2221" spans="1:3" x14ac:dyDescent="0.35">
      <c r="A2221" t="s">
        <v>322</v>
      </c>
      <c r="B2221" s="128">
        <v>42055</v>
      </c>
      <c r="C2221">
        <v>11633.41</v>
      </c>
    </row>
    <row r="2222" spans="1:3" x14ac:dyDescent="0.35">
      <c r="A2222" t="s">
        <v>322</v>
      </c>
      <c r="B2222" s="128">
        <v>42054</v>
      </c>
      <c r="C2222">
        <v>11714.65</v>
      </c>
    </row>
    <row r="2223" spans="1:3" x14ac:dyDescent="0.35">
      <c r="A2223" t="s">
        <v>322</v>
      </c>
      <c r="B2223" s="128">
        <v>42053</v>
      </c>
      <c r="C2223">
        <v>11680.18</v>
      </c>
    </row>
    <row r="2224" spans="1:3" x14ac:dyDescent="0.35">
      <c r="A2224" t="s">
        <v>322</v>
      </c>
      <c r="B2224" s="128">
        <v>42051</v>
      </c>
      <c r="C2224">
        <v>11600.46</v>
      </c>
    </row>
    <row r="2225" spans="1:3" x14ac:dyDescent="0.35">
      <c r="A2225" t="s">
        <v>322</v>
      </c>
      <c r="B2225" s="128">
        <v>42048</v>
      </c>
      <c r="C2225">
        <v>11595.25</v>
      </c>
    </row>
    <row r="2226" spans="1:3" x14ac:dyDescent="0.35">
      <c r="A2226" t="s">
        <v>322</v>
      </c>
      <c r="B2226" s="128">
        <v>42047</v>
      </c>
      <c r="C2226">
        <v>11471.52</v>
      </c>
    </row>
    <row r="2227" spans="1:3" x14ac:dyDescent="0.35">
      <c r="A2227" t="s">
        <v>322</v>
      </c>
      <c r="B2227" s="128">
        <v>42046</v>
      </c>
      <c r="C2227">
        <v>11360.75</v>
      </c>
    </row>
    <row r="2228" spans="1:3" x14ac:dyDescent="0.35">
      <c r="A2228" t="s">
        <v>322</v>
      </c>
      <c r="B2228" s="128">
        <v>42045</v>
      </c>
      <c r="C2228">
        <v>11279.29</v>
      </c>
    </row>
    <row r="2229" spans="1:3" x14ac:dyDescent="0.35">
      <c r="A2229" t="s">
        <v>322</v>
      </c>
      <c r="B2229" s="128">
        <v>42044</v>
      </c>
      <c r="C2229">
        <v>11227.7</v>
      </c>
    </row>
    <row r="2230" spans="1:3" x14ac:dyDescent="0.35">
      <c r="A2230" t="s">
        <v>322</v>
      </c>
      <c r="B2230" s="128">
        <v>42041</v>
      </c>
      <c r="C2230">
        <v>11405.06</v>
      </c>
    </row>
    <row r="2231" spans="1:3" x14ac:dyDescent="0.35">
      <c r="A2231" t="s">
        <v>322</v>
      </c>
      <c r="B2231" s="128">
        <v>42040</v>
      </c>
      <c r="C2231">
        <v>11471.77</v>
      </c>
    </row>
    <row r="2232" spans="1:3" x14ac:dyDescent="0.35">
      <c r="A2232" t="s">
        <v>322</v>
      </c>
      <c r="B2232" s="128">
        <v>42039</v>
      </c>
      <c r="C2232">
        <v>11487.57</v>
      </c>
    </row>
    <row r="2233" spans="1:3" x14ac:dyDescent="0.35">
      <c r="A2233" t="s">
        <v>322</v>
      </c>
      <c r="B2233" s="128">
        <v>42038</v>
      </c>
      <c r="C2233">
        <v>11529.72</v>
      </c>
    </row>
    <row r="2234" spans="1:3" x14ac:dyDescent="0.35">
      <c r="A2234" t="s">
        <v>322</v>
      </c>
      <c r="B2234" s="128">
        <v>42037</v>
      </c>
      <c r="C2234">
        <v>11583.49</v>
      </c>
    </row>
    <row r="2235" spans="1:3" x14ac:dyDescent="0.35">
      <c r="A2235" t="s">
        <v>322</v>
      </c>
      <c r="B2235" s="128">
        <v>42034</v>
      </c>
      <c r="C2235">
        <v>11598.64</v>
      </c>
    </row>
    <row r="2236" spans="1:3" x14ac:dyDescent="0.35">
      <c r="A2236" t="s">
        <v>322</v>
      </c>
      <c r="B2236" s="128">
        <v>42033</v>
      </c>
      <c r="C2236">
        <v>11787.53</v>
      </c>
    </row>
    <row r="2237" spans="1:3" x14ac:dyDescent="0.35">
      <c r="A2237" t="s">
        <v>322</v>
      </c>
      <c r="B2237" s="128">
        <v>42032</v>
      </c>
      <c r="C2237">
        <v>11737.42</v>
      </c>
    </row>
    <row r="2238" spans="1:3" x14ac:dyDescent="0.35">
      <c r="A2238" t="s">
        <v>322</v>
      </c>
      <c r="B2238" s="128">
        <v>42031</v>
      </c>
      <c r="C2238">
        <v>11732.39</v>
      </c>
    </row>
    <row r="2239" spans="1:3" x14ac:dyDescent="0.35">
      <c r="A2239" t="s">
        <v>322</v>
      </c>
      <c r="B2239" s="128">
        <v>42027</v>
      </c>
      <c r="C2239">
        <v>11633.06</v>
      </c>
    </row>
    <row r="2240" spans="1:3" x14ac:dyDescent="0.35">
      <c r="A2240" t="s">
        <v>322</v>
      </c>
      <c r="B2240" s="128">
        <v>42026</v>
      </c>
      <c r="C2240">
        <v>11535.32</v>
      </c>
    </row>
    <row r="2241" spans="1:3" x14ac:dyDescent="0.35">
      <c r="A2241" t="s">
        <v>322</v>
      </c>
      <c r="B2241" s="128">
        <v>42025</v>
      </c>
      <c r="C2241">
        <v>11492.4</v>
      </c>
    </row>
    <row r="2242" spans="1:3" x14ac:dyDescent="0.35">
      <c r="A2242" t="s">
        <v>322</v>
      </c>
      <c r="B2242" s="128">
        <v>42024</v>
      </c>
      <c r="C2242">
        <v>11447.77</v>
      </c>
    </row>
    <row r="2243" spans="1:3" x14ac:dyDescent="0.35">
      <c r="A2243" t="s">
        <v>322</v>
      </c>
      <c r="B2243" s="128">
        <v>42023</v>
      </c>
      <c r="C2243">
        <v>11257.01</v>
      </c>
    </row>
    <row r="2244" spans="1:3" x14ac:dyDescent="0.35">
      <c r="A2244" t="s">
        <v>322</v>
      </c>
      <c r="B2244" s="128">
        <v>42020</v>
      </c>
      <c r="C2244">
        <v>11208.42</v>
      </c>
    </row>
    <row r="2245" spans="1:3" x14ac:dyDescent="0.35">
      <c r="A2245" t="s">
        <v>322</v>
      </c>
      <c r="B2245" s="128">
        <v>42019</v>
      </c>
      <c r="C2245">
        <v>11182.52</v>
      </c>
    </row>
    <row r="2246" spans="1:3" x14ac:dyDescent="0.35">
      <c r="A2246" t="s">
        <v>322</v>
      </c>
      <c r="B2246" s="128">
        <v>42018</v>
      </c>
      <c r="C2246">
        <v>10897.36</v>
      </c>
    </row>
    <row r="2247" spans="1:3" x14ac:dyDescent="0.35">
      <c r="A2247" t="s">
        <v>322</v>
      </c>
      <c r="B2247" s="128">
        <v>42017</v>
      </c>
      <c r="C2247">
        <v>10926.16</v>
      </c>
    </row>
    <row r="2248" spans="1:3" x14ac:dyDescent="0.35">
      <c r="A2248" t="s">
        <v>322</v>
      </c>
      <c r="B2248" s="128">
        <v>42016</v>
      </c>
      <c r="C2248">
        <v>10957.22</v>
      </c>
    </row>
    <row r="2249" spans="1:3" x14ac:dyDescent="0.35">
      <c r="A2249" t="s">
        <v>322</v>
      </c>
      <c r="B2249" s="128">
        <v>42013</v>
      </c>
      <c r="C2249">
        <v>10906.56</v>
      </c>
    </row>
    <row r="2250" spans="1:3" x14ac:dyDescent="0.35">
      <c r="A2250" t="s">
        <v>322</v>
      </c>
      <c r="B2250" s="128">
        <v>42012</v>
      </c>
      <c r="C2250">
        <v>10840.84</v>
      </c>
    </row>
    <row r="2251" spans="1:3" x14ac:dyDescent="0.35">
      <c r="A2251" t="s">
        <v>322</v>
      </c>
      <c r="B2251" s="128">
        <v>42011</v>
      </c>
      <c r="C2251">
        <v>10666.38</v>
      </c>
    </row>
    <row r="2252" spans="1:3" x14ac:dyDescent="0.35">
      <c r="A2252" t="s">
        <v>322</v>
      </c>
      <c r="B2252" s="128">
        <v>42010</v>
      </c>
      <c r="C2252">
        <v>10699.62</v>
      </c>
    </row>
    <row r="2253" spans="1:3" x14ac:dyDescent="0.35">
      <c r="A2253" t="s">
        <v>322</v>
      </c>
      <c r="B2253" s="128">
        <v>42009</v>
      </c>
      <c r="C2253">
        <v>11030.18</v>
      </c>
    </row>
    <row r="2254" spans="1:3" x14ac:dyDescent="0.35">
      <c r="A2254" t="s">
        <v>322</v>
      </c>
      <c r="B2254" s="128">
        <v>42006</v>
      </c>
      <c r="C2254">
        <v>11052.57</v>
      </c>
    </row>
    <row r="2255" spans="1:3" x14ac:dyDescent="0.35">
      <c r="A2255" t="s">
        <v>322</v>
      </c>
      <c r="B2255" s="128">
        <v>42005</v>
      </c>
      <c r="C2255">
        <v>10905.87</v>
      </c>
    </row>
    <row r="2256" spans="1:3" x14ac:dyDescent="0.35">
      <c r="A2256" t="s">
        <v>322</v>
      </c>
      <c r="B2256" s="128">
        <v>42004</v>
      </c>
      <c r="C2256">
        <v>10904.18</v>
      </c>
    </row>
    <row r="2257" spans="1:3" x14ac:dyDescent="0.35">
      <c r="A2257" t="s">
        <v>322</v>
      </c>
      <c r="B2257" s="128">
        <v>42003</v>
      </c>
      <c r="C2257">
        <v>10858.82</v>
      </c>
    </row>
    <row r="2258" spans="1:3" x14ac:dyDescent="0.35">
      <c r="A2258" t="s">
        <v>322</v>
      </c>
      <c r="B2258" s="128">
        <v>42002</v>
      </c>
      <c r="C2258">
        <v>10856.23</v>
      </c>
    </row>
    <row r="2259" spans="1:3" x14ac:dyDescent="0.35">
      <c r="A2259" t="s">
        <v>322</v>
      </c>
      <c r="B2259" s="128">
        <v>41999</v>
      </c>
      <c r="C2259">
        <v>10796.22</v>
      </c>
    </row>
    <row r="2260" spans="1:3" x14ac:dyDescent="0.35">
      <c r="A2260" t="s">
        <v>322</v>
      </c>
      <c r="B2260" s="128">
        <v>41997</v>
      </c>
      <c r="C2260">
        <v>10761.16</v>
      </c>
    </row>
    <row r="2261" spans="1:3" x14ac:dyDescent="0.35">
      <c r="A2261" t="s">
        <v>322</v>
      </c>
      <c r="B2261" s="128">
        <v>41996</v>
      </c>
      <c r="C2261">
        <v>10883.52</v>
      </c>
    </row>
    <row r="2262" spans="1:3" x14ac:dyDescent="0.35">
      <c r="A2262" t="s">
        <v>322</v>
      </c>
      <c r="B2262" s="128">
        <v>41995</v>
      </c>
      <c r="C2262">
        <v>10958.56</v>
      </c>
    </row>
    <row r="2263" spans="1:3" x14ac:dyDescent="0.35">
      <c r="A2263" t="s">
        <v>322</v>
      </c>
      <c r="B2263" s="128">
        <v>41992</v>
      </c>
      <c r="C2263">
        <v>10828.45</v>
      </c>
    </row>
    <row r="2264" spans="1:3" x14ac:dyDescent="0.35">
      <c r="A2264" t="s">
        <v>322</v>
      </c>
      <c r="B2264" s="128">
        <v>41991</v>
      </c>
      <c r="C2264">
        <v>10741.73</v>
      </c>
    </row>
    <row r="2265" spans="1:3" x14ac:dyDescent="0.35">
      <c r="A2265" t="s">
        <v>322</v>
      </c>
      <c r="B2265" s="128">
        <v>41990</v>
      </c>
      <c r="C2265">
        <v>10571.25</v>
      </c>
    </row>
    <row r="2266" spans="1:3" x14ac:dyDescent="0.35">
      <c r="A2266" t="s">
        <v>322</v>
      </c>
      <c r="B2266" s="128">
        <v>41989</v>
      </c>
      <c r="C2266">
        <v>10620.96</v>
      </c>
    </row>
    <row r="2267" spans="1:3" x14ac:dyDescent="0.35">
      <c r="A2267" t="s">
        <v>322</v>
      </c>
      <c r="B2267" s="128">
        <v>41988</v>
      </c>
      <c r="C2267">
        <v>10818.45</v>
      </c>
    </row>
    <row r="2268" spans="1:3" x14ac:dyDescent="0.35">
      <c r="A2268" t="s">
        <v>322</v>
      </c>
      <c r="B2268" s="128">
        <v>41985</v>
      </c>
      <c r="C2268">
        <v>10824.36</v>
      </c>
    </row>
    <row r="2269" spans="1:3" x14ac:dyDescent="0.35">
      <c r="A2269" t="s">
        <v>322</v>
      </c>
      <c r="B2269" s="128">
        <v>41984</v>
      </c>
      <c r="C2269">
        <v>10914.91</v>
      </c>
    </row>
    <row r="2270" spans="1:3" x14ac:dyDescent="0.35">
      <c r="A2270" t="s">
        <v>322</v>
      </c>
      <c r="B2270" s="128">
        <v>41983</v>
      </c>
      <c r="C2270">
        <v>10997.53</v>
      </c>
    </row>
    <row r="2271" spans="1:3" x14ac:dyDescent="0.35">
      <c r="A2271" t="s">
        <v>322</v>
      </c>
      <c r="B2271" s="128">
        <v>41982</v>
      </c>
      <c r="C2271">
        <v>10977.83</v>
      </c>
    </row>
    <row r="2272" spans="1:3" x14ac:dyDescent="0.35">
      <c r="A2272" t="s">
        <v>322</v>
      </c>
      <c r="B2272" s="128">
        <v>41981</v>
      </c>
      <c r="C2272">
        <v>11106.22</v>
      </c>
    </row>
    <row r="2273" spans="1:3" x14ac:dyDescent="0.35">
      <c r="A2273" t="s">
        <v>322</v>
      </c>
      <c r="B2273" s="128">
        <v>41978</v>
      </c>
      <c r="C2273">
        <v>11237.89</v>
      </c>
    </row>
    <row r="2274" spans="1:3" x14ac:dyDescent="0.35">
      <c r="A2274" t="s">
        <v>322</v>
      </c>
      <c r="B2274" s="128">
        <v>41977</v>
      </c>
      <c r="C2274">
        <v>11272.28</v>
      </c>
    </row>
    <row r="2275" spans="1:3" x14ac:dyDescent="0.35">
      <c r="A2275" t="s">
        <v>322</v>
      </c>
      <c r="B2275" s="128">
        <v>41976</v>
      </c>
      <c r="C2275">
        <v>11237.05</v>
      </c>
    </row>
    <row r="2276" spans="1:3" x14ac:dyDescent="0.35">
      <c r="A2276" t="s">
        <v>322</v>
      </c>
      <c r="B2276" s="128">
        <v>41975</v>
      </c>
      <c r="C2276">
        <v>11219.98</v>
      </c>
    </row>
    <row r="2277" spans="1:3" x14ac:dyDescent="0.35">
      <c r="A2277" t="s">
        <v>322</v>
      </c>
      <c r="B2277" s="128">
        <v>41974</v>
      </c>
      <c r="C2277">
        <v>11261.08</v>
      </c>
    </row>
    <row r="2278" spans="1:3" x14ac:dyDescent="0.35">
      <c r="A2278" t="s">
        <v>322</v>
      </c>
      <c r="B2278" s="128">
        <v>41971</v>
      </c>
      <c r="C2278">
        <v>11303.65</v>
      </c>
    </row>
    <row r="2279" spans="1:3" x14ac:dyDescent="0.35">
      <c r="A2279" t="s">
        <v>322</v>
      </c>
      <c r="B2279" s="128">
        <v>41970</v>
      </c>
      <c r="C2279">
        <v>11179.89</v>
      </c>
    </row>
    <row r="2280" spans="1:3" x14ac:dyDescent="0.35">
      <c r="A2280" t="s">
        <v>322</v>
      </c>
      <c r="B2280" s="128">
        <v>41969</v>
      </c>
      <c r="C2280">
        <v>11155.59</v>
      </c>
    </row>
    <row r="2281" spans="1:3" x14ac:dyDescent="0.35">
      <c r="A2281" t="s">
        <v>322</v>
      </c>
      <c r="B2281" s="128">
        <v>41968</v>
      </c>
      <c r="C2281">
        <v>11138.95</v>
      </c>
    </row>
    <row r="2282" spans="1:3" x14ac:dyDescent="0.35">
      <c r="A2282" t="s">
        <v>322</v>
      </c>
      <c r="B2282" s="128">
        <v>41967</v>
      </c>
      <c r="C2282">
        <v>11227.19</v>
      </c>
    </row>
    <row r="2283" spans="1:3" x14ac:dyDescent="0.35">
      <c r="A2283" t="s">
        <v>322</v>
      </c>
      <c r="B2283" s="128">
        <v>41964</v>
      </c>
      <c r="C2283">
        <v>11157.68</v>
      </c>
    </row>
    <row r="2284" spans="1:3" x14ac:dyDescent="0.35">
      <c r="A2284" t="s">
        <v>322</v>
      </c>
      <c r="B2284" s="128">
        <v>41963</v>
      </c>
      <c r="C2284">
        <v>11058.39</v>
      </c>
    </row>
    <row r="2285" spans="1:3" x14ac:dyDescent="0.35">
      <c r="A2285" t="s">
        <v>322</v>
      </c>
      <c r="B2285" s="128">
        <v>41962</v>
      </c>
      <c r="C2285">
        <v>11032.59</v>
      </c>
    </row>
    <row r="2286" spans="1:3" x14ac:dyDescent="0.35">
      <c r="A2286" t="s">
        <v>322</v>
      </c>
      <c r="B2286" s="128">
        <v>41961</v>
      </c>
      <c r="C2286">
        <v>11089.98</v>
      </c>
    </row>
    <row r="2287" spans="1:3" x14ac:dyDescent="0.35">
      <c r="A2287" t="s">
        <v>322</v>
      </c>
      <c r="B2287" s="128">
        <v>41960</v>
      </c>
      <c r="C2287">
        <v>11096.32</v>
      </c>
    </row>
    <row r="2288" spans="1:3" x14ac:dyDescent="0.35">
      <c r="A2288" t="s">
        <v>322</v>
      </c>
      <c r="B2288" s="128">
        <v>41957</v>
      </c>
      <c r="C2288">
        <v>11042.61</v>
      </c>
    </row>
    <row r="2289" spans="1:3" x14ac:dyDescent="0.35">
      <c r="A2289" t="s">
        <v>322</v>
      </c>
      <c r="B2289" s="128">
        <v>41956</v>
      </c>
      <c r="C2289">
        <v>11000.37</v>
      </c>
    </row>
    <row r="2290" spans="1:3" x14ac:dyDescent="0.35">
      <c r="A2290" t="s">
        <v>322</v>
      </c>
      <c r="B2290" s="128">
        <v>41955</v>
      </c>
      <c r="C2290">
        <v>11033.19</v>
      </c>
    </row>
    <row r="2291" spans="1:3" x14ac:dyDescent="0.35">
      <c r="A2291" t="s">
        <v>322</v>
      </c>
      <c r="B2291" s="128">
        <v>41954</v>
      </c>
      <c r="C2291">
        <v>11006.04</v>
      </c>
    </row>
    <row r="2292" spans="1:3" x14ac:dyDescent="0.35">
      <c r="A2292" t="s">
        <v>322</v>
      </c>
      <c r="B2292" s="128">
        <v>41953</v>
      </c>
      <c r="C2292">
        <v>10981.77</v>
      </c>
    </row>
    <row r="2293" spans="1:3" x14ac:dyDescent="0.35">
      <c r="A2293" t="s">
        <v>322</v>
      </c>
      <c r="B2293" s="128">
        <v>41950</v>
      </c>
      <c r="C2293">
        <v>10972.24</v>
      </c>
    </row>
    <row r="2294" spans="1:3" x14ac:dyDescent="0.35">
      <c r="A2294" t="s">
        <v>322</v>
      </c>
      <c r="B2294" s="128">
        <v>41948</v>
      </c>
      <c r="C2294">
        <v>10973.95</v>
      </c>
    </row>
    <row r="2295" spans="1:3" x14ac:dyDescent="0.35">
      <c r="A2295" t="s">
        <v>322</v>
      </c>
      <c r="B2295" s="128">
        <v>41946</v>
      </c>
      <c r="C2295">
        <v>10955.32</v>
      </c>
    </row>
    <row r="2296" spans="1:3" x14ac:dyDescent="0.35">
      <c r="A2296" t="s">
        <v>322</v>
      </c>
      <c r="B2296" s="128">
        <v>41943</v>
      </c>
      <c r="C2296">
        <v>10952.14</v>
      </c>
    </row>
    <row r="2297" spans="1:3" x14ac:dyDescent="0.35">
      <c r="A2297" t="s">
        <v>322</v>
      </c>
      <c r="B2297" s="128">
        <v>41942</v>
      </c>
      <c r="C2297">
        <v>10749.57</v>
      </c>
    </row>
    <row r="2298" spans="1:3" x14ac:dyDescent="0.35">
      <c r="A2298" t="s">
        <v>322</v>
      </c>
      <c r="B2298" s="128">
        <v>41941</v>
      </c>
      <c r="C2298">
        <v>10645.96</v>
      </c>
    </row>
    <row r="2299" spans="1:3" x14ac:dyDescent="0.35">
      <c r="A2299" t="s">
        <v>322</v>
      </c>
      <c r="B2299" s="128">
        <v>41940</v>
      </c>
      <c r="C2299">
        <v>10562.48</v>
      </c>
    </row>
    <row r="2300" spans="1:3" x14ac:dyDescent="0.35">
      <c r="A2300" t="s">
        <v>322</v>
      </c>
      <c r="B2300" s="128">
        <v>41939</v>
      </c>
      <c r="C2300">
        <v>10515.22</v>
      </c>
    </row>
    <row r="2301" spans="1:3" x14ac:dyDescent="0.35">
      <c r="A2301" t="s">
        <v>322</v>
      </c>
      <c r="B2301" s="128">
        <v>41935</v>
      </c>
      <c r="C2301">
        <v>10545.31</v>
      </c>
    </row>
    <row r="2302" spans="1:3" x14ac:dyDescent="0.35">
      <c r="A2302" t="s">
        <v>322</v>
      </c>
      <c r="B2302" s="128">
        <v>41934</v>
      </c>
      <c r="C2302">
        <v>10520.79</v>
      </c>
    </row>
    <row r="2303" spans="1:3" x14ac:dyDescent="0.35">
      <c r="A2303" t="s">
        <v>322</v>
      </c>
      <c r="B2303" s="128">
        <v>41933</v>
      </c>
      <c r="C2303">
        <v>10431.1</v>
      </c>
    </row>
    <row r="2304" spans="1:3" x14ac:dyDescent="0.35">
      <c r="A2304" t="s">
        <v>322</v>
      </c>
      <c r="B2304" s="128">
        <v>41932</v>
      </c>
      <c r="C2304">
        <v>10367.030000000001</v>
      </c>
    </row>
    <row r="2305" spans="1:3" x14ac:dyDescent="0.35">
      <c r="A2305" t="s">
        <v>322</v>
      </c>
      <c r="B2305" s="128">
        <v>41929</v>
      </c>
      <c r="C2305">
        <v>10235.83</v>
      </c>
    </row>
    <row r="2306" spans="1:3" x14ac:dyDescent="0.35">
      <c r="A2306" t="s">
        <v>322</v>
      </c>
      <c r="B2306" s="128">
        <v>41928</v>
      </c>
      <c r="C2306">
        <v>10194.41</v>
      </c>
    </row>
    <row r="2307" spans="1:3" x14ac:dyDescent="0.35">
      <c r="A2307" t="s">
        <v>322</v>
      </c>
      <c r="B2307" s="128">
        <v>41926</v>
      </c>
      <c r="C2307">
        <v>10342.43</v>
      </c>
    </row>
    <row r="2308" spans="1:3" x14ac:dyDescent="0.35">
      <c r="A2308" t="s">
        <v>322</v>
      </c>
      <c r="B2308" s="128">
        <v>41925</v>
      </c>
      <c r="C2308">
        <v>10369.11</v>
      </c>
    </row>
    <row r="2309" spans="1:3" x14ac:dyDescent="0.35">
      <c r="A2309" t="s">
        <v>322</v>
      </c>
      <c r="B2309" s="128">
        <v>41922</v>
      </c>
      <c r="C2309">
        <v>10337.14</v>
      </c>
    </row>
    <row r="2310" spans="1:3" x14ac:dyDescent="0.35">
      <c r="A2310" t="s">
        <v>322</v>
      </c>
      <c r="B2310" s="128">
        <v>41921</v>
      </c>
      <c r="C2310">
        <v>10469.450000000001</v>
      </c>
    </row>
    <row r="2311" spans="1:3" x14ac:dyDescent="0.35">
      <c r="A2311" t="s">
        <v>322</v>
      </c>
      <c r="B2311" s="128">
        <v>41920</v>
      </c>
      <c r="C2311">
        <v>10314.44</v>
      </c>
    </row>
    <row r="2312" spans="1:3" x14ac:dyDescent="0.35">
      <c r="A2312" t="s">
        <v>322</v>
      </c>
      <c r="B2312" s="128">
        <v>41919</v>
      </c>
      <c r="C2312">
        <v>10327.23</v>
      </c>
    </row>
    <row r="2313" spans="1:3" x14ac:dyDescent="0.35">
      <c r="A2313" t="s">
        <v>322</v>
      </c>
      <c r="B2313" s="128">
        <v>41913</v>
      </c>
      <c r="C2313">
        <v>10449.700000000001</v>
      </c>
    </row>
    <row r="2314" spans="1:3" x14ac:dyDescent="0.35">
      <c r="A2314" t="s">
        <v>322</v>
      </c>
      <c r="B2314" s="128">
        <v>41912</v>
      </c>
      <c r="C2314">
        <v>10475.040000000001</v>
      </c>
    </row>
    <row r="2315" spans="1:3" x14ac:dyDescent="0.35">
      <c r="A2315" t="s">
        <v>322</v>
      </c>
      <c r="B2315" s="128">
        <v>41911</v>
      </c>
      <c r="C2315">
        <v>10467.25</v>
      </c>
    </row>
    <row r="2316" spans="1:3" x14ac:dyDescent="0.35">
      <c r="A2316" t="s">
        <v>322</v>
      </c>
      <c r="B2316" s="128">
        <v>41908</v>
      </c>
      <c r="C2316">
        <v>10480.36</v>
      </c>
    </row>
    <row r="2317" spans="1:3" x14ac:dyDescent="0.35">
      <c r="A2317" t="s">
        <v>322</v>
      </c>
      <c r="B2317" s="128">
        <v>41907</v>
      </c>
      <c r="C2317">
        <v>10405.39</v>
      </c>
    </row>
    <row r="2318" spans="1:3" x14ac:dyDescent="0.35">
      <c r="A2318" t="s">
        <v>322</v>
      </c>
      <c r="B2318" s="128">
        <v>41906</v>
      </c>
      <c r="C2318">
        <v>10524.5</v>
      </c>
    </row>
    <row r="2319" spans="1:3" x14ac:dyDescent="0.35">
      <c r="A2319" t="s">
        <v>322</v>
      </c>
      <c r="B2319" s="128">
        <v>41905</v>
      </c>
      <c r="C2319">
        <v>10544.42</v>
      </c>
    </row>
    <row r="2320" spans="1:3" x14ac:dyDescent="0.35">
      <c r="A2320" t="s">
        <v>322</v>
      </c>
      <c r="B2320" s="128">
        <v>41904</v>
      </c>
      <c r="C2320">
        <v>10713.74</v>
      </c>
    </row>
    <row r="2321" spans="1:3" x14ac:dyDescent="0.35">
      <c r="A2321" t="s">
        <v>322</v>
      </c>
      <c r="B2321" s="128">
        <v>41901</v>
      </c>
      <c r="C2321">
        <v>10679.98</v>
      </c>
    </row>
    <row r="2322" spans="1:3" x14ac:dyDescent="0.35">
      <c r="A2322" t="s">
        <v>322</v>
      </c>
      <c r="B2322" s="128">
        <v>41900</v>
      </c>
      <c r="C2322">
        <v>10671.16</v>
      </c>
    </row>
    <row r="2323" spans="1:3" x14ac:dyDescent="0.35">
      <c r="A2323" t="s">
        <v>322</v>
      </c>
      <c r="B2323" s="128">
        <v>41899</v>
      </c>
      <c r="C2323">
        <v>10488.05</v>
      </c>
    </row>
    <row r="2324" spans="1:3" x14ac:dyDescent="0.35">
      <c r="A2324" t="s">
        <v>322</v>
      </c>
      <c r="B2324" s="128">
        <v>41898</v>
      </c>
      <c r="C2324">
        <v>10432.030000000001</v>
      </c>
    </row>
    <row r="2325" spans="1:3" x14ac:dyDescent="0.35">
      <c r="A2325" t="s">
        <v>322</v>
      </c>
      <c r="B2325" s="128">
        <v>41897</v>
      </c>
      <c r="C2325">
        <v>10575.5</v>
      </c>
    </row>
    <row r="2326" spans="1:3" x14ac:dyDescent="0.35">
      <c r="A2326" t="s">
        <v>322</v>
      </c>
      <c r="B2326" s="128">
        <v>41894</v>
      </c>
      <c r="C2326">
        <v>10658.96</v>
      </c>
    </row>
    <row r="2327" spans="1:3" x14ac:dyDescent="0.35">
      <c r="A2327" t="s">
        <v>322</v>
      </c>
      <c r="B2327" s="128">
        <v>41893</v>
      </c>
      <c r="C2327">
        <v>10632.96</v>
      </c>
    </row>
    <row r="2328" spans="1:3" x14ac:dyDescent="0.35">
      <c r="A2328" t="s">
        <v>322</v>
      </c>
      <c r="B2328" s="128">
        <v>41892</v>
      </c>
      <c r="C2328">
        <v>10643.54</v>
      </c>
    </row>
    <row r="2329" spans="1:3" x14ac:dyDescent="0.35">
      <c r="A2329" t="s">
        <v>322</v>
      </c>
      <c r="B2329" s="128">
        <v>41891</v>
      </c>
      <c r="C2329">
        <v>10720.95</v>
      </c>
    </row>
    <row r="2330" spans="1:3" x14ac:dyDescent="0.35">
      <c r="A2330" t="s">
        <v>322</v>
      </c>
      <c r="B2330" s="128">
        <v>41890</v>
      </c>
      <c r="C2330">
        <v>10748.49</v>
      </c>
    </row>
    <row r="2331" spans="1:3" x14ac:dyDescent="0.35">
      <c r="A2331" t="s">
        <v>322</v>
      </c>
      <c r="B2331" s="128">
        <v>41887</v>
      </c>
      <c r="C2331">
        <v>10633.24</v>
      </c>
    </row>
    <row r="2332" spans="1:3" x14ac:dyDescent="0.35">
      <c r="A2332" t="s">
        <v>322</v>
      </c>
      <c r="B2332" s="128">
        <v>41886</v>
      </c>
      <c r="C2332">
        <v>10643.88</v>
      </c>
    </row>
    <row r="2333" spans="1:3" x14ac:dyDescent="0.35">
      <c r="A2333" t="s">
        <v>322</v>
      </c>
      <c r="B2333" s="128">
        <v>41885</v>
      </c>
      <c r="C2333">
        <v>10667.5</v>
      </c>
    </row>
    <row r="2334" spans="1:3" x14ac:dyDescent="0.35">
      <c r="A2334" t="s">
        <v>322</v>
      </c>
      <c r="B2334" s="128">
        <v>41884</v>
      </c>
      <c r="C2334">
        <v>10626.05</v>
      </c>
    </row>
    <row r="2335" spans="1:3" x14ac:dyDescent="0.35">
      <c r="A2335" t="s">
        <v>322</v>
      </c>
      <c r="B2335" s="128">
        <v>41883</v>
      </c>
      <c r="C2335">
        <v>10553.26</v>
      </c>
    </row>
    <row r="2336" spans="1:3" x14ac:dyDescent="0.35">
      <c r="A2336" t="s">
        <v>322</v>
      </c>
      <c r="B2336" s="128">
        <v>41879</v>
      </c>
      <c r="C2336">
        <v>10456.85</v>
      </c>
    </row>
    <row r="2337" spans="1:3" x14ac:dyDescent="0.35">
      <c r="A2337" t="s">
        <v>322</v>
      </c>
      <c r="B2337" s="128">
        <v>41878</v>
      </c>
      <c r="C2337">
        <v>10432.780000000001</v>
      </c>
    </row>
    <row r="2338" spans="1:3" x14ac:dyDescent="0.35">
      <c r="A2338" t="s">
        <v>322</v>
      </c>
      <c r="B2338" s="128">
        <v>41877</v>
      </c>
      <c r="C2338">
        <v>10390.39</v>
      </c>
    </row>
    <row r="2339" spans="1:3" x14ac:dyDescent="0.35">
      <c r="A2339" t="s">
        <v>322</v>
      </c>
      <c r="B2339" s="128">
        <v>41876</v>
      </c>
      <c r="C2339">
        <v>10392.41</v>
      </c>
    </row>
    <row r="2340" spans="1:3" x14ac:dyDescent="0.35">
      <c r="A2340" t="s">
        <v>322</v>
      </c>
      <c r="B2340" s="128">
        <v>41873</v>
      </c>
      <c r="C2340">
        <v>10401.48</v>
      </c>
    </row>
    <row r="2341" spans="1:3" x14ac:dyDescent="0.35">
      <c r="A2341" t="s">
        <v>322</v>
      </c>
      <c r="B2341" s="128">
        <v>41872</v>
      </c>
      <c r="C2341">
        <v>10372.44</v>
      </c>
    </row>
    <row r="2342" spans="1:3" x14ac:dyDescent="0.35">
      <c r="A2342" t="s">
        <v>322</v>
      </c>
      <c r="B2342" s="128">
        <v>41871</v>
      </c>
      <c r="C2342">
        <v>10350.280000000001</v>
      </c>
    </row>
    <row r="2343" spans="1:3" x14ac:dyDescent="0.35">
      <c r="A2343" t="s">
        <v>322</v>
      </c>
      <c r="B2343" s="128">
        <v>41870</v>
      </c>
      <c r="C2343">
        <v>10379.049999999999</v>
      </c>
    </row>
    <row r="2344" spans="1:3" x14ac:dyDescent="0.35">
      <c r="A2344" t="s">
        <v>322</v>
      </c>
      <c r="B2344" s="128">
        <v>41869</v>
      </c>
      <c r="C2344">
        <v>10348.219999999999</v>
      </c>
    </row>
    <row r="2345" spans="1:3" x14ac:dyDescent="0.35">
      <c r="A2345" t="s">
        <v>322</v>
      </c>
      <c r="B2345" s="128">
        <v>41865</v>
      </c>
      <c r="C2345">
        <v>10239.76</v>
      </c>
    </row>
    <row r="2346" spans="1:3" x14ac:dyDescent="0.35">
      <c r="A2346" t="s">
        <v>322</v>
      </c>
      <c r="B2346" s="128">
        <v>41864</v>
      </c>
      <c r="C2346">
        <v>10171.219999999999</v>
      </c>
    </row>
    <row r="2347" spans="1:3" x14ac:dyDescent="0.35">
      <c r="A2347" t="s">
        <v>322</v>
      </c>
      <c r="B2347" s="128">
        <v>41863</v>
      </c>
      <c r="C2347">
        <v>10150.24</v>
      </c>
    </row>
    <row r="2348" spans="1:3" x14ac:dyDescent="0.35">
      <c r="A2348" t="s">
        <v>322</v>
      </c>
      <c r="B2348" s="128">
        <v>41862</v>
      </c>
      <c r="C2348">
        <v>10017.44</v>
      </c>
    </row>
    <row r="2349" spans="1:3" x14ac:dyDescent="0.35">
      <c r="A2349" t="s">
        <v>322</v>
      </c>
      <c r="B2349" s="128">
        <v>41859</v>
      </c>
      <c r="C2349">
        <v>9942.0300000000007</v>
      </c>
    </row>
    <row r="2350" spans="1:3" x14ac:dyDescent="0.35">
      <c r="A2350" t="s">
        <v>322</v>
      </c>
      <c r="B2350" s="128">
        <v>41858</v>
      </c>
      <c r="C2350">
        <v>10046.98</v>
      </c>
    </row>
    <row r="2351" spans="1:3" x14ac:dyDescent="0.35">
      <c r="A2351" t="s">
        <v>322</v>
      </c>
      <c r="B2351" s="128">
        <v>41857</v>
      </c>
      <c r="C2351">
        <v>10076.950000000001</v>
      </c>
    </row>
    <row r="2352" spans="1:3" x14ac:dyDescent="0.35">
      <c r="A2352" t="s">
        <v>322</v>
      </c>
      <c r="B2352" s="128">
        <v>41856</v>
      </c>
      <c r="C2352">
        <v>10174.469999999999</v>
      </c>
    </row>
    <row r="2353" spans="1:3" x14ac:dyDescent="0.35">
      <c r="A2353" t="s">
        <v>322</v>
      </c>
      <c r="B2353" s="128">
        <v>41855</v>
      </c>
      <c r="C2353">
        <v>10090.879999999999</v>
      </c>
    </row>
    <row r="2354" spans="1:3" x14ac:dyDescent="0.35">
      <c r="A2354" t="s">
        <v>322</v>
      </c>
      <c r="B2354" s="128">
        <v>41852</v>
      </c>
      <c r="C2354">
        <v>9984.48</v>
      </c>
    </row>
    <row r="2355" spans="1:3" x14ac:dyDescent="0.35">
      <c r="A2355" t="s">
        <v>322</v>
      </c>
      <c r="B2355" s="128">
        <v>41851</v>
      </c>
      <c r="C2355">
        <v>10140.34</v>
      </c>
    </row>
    <row r="2356" spans="1:3" x14ac:dyDescent="0.35">
      <c r="A2356" t="s">
        <v>322</v>
      </c>
      <c r="B2356" s="128">
        <v>41850</v>
      </c>
      <c r="C2356">
        <v>10232.41</v>
      </c>
    </row>
    <row r="2357" spans="1:3" x14ac:dyDescent="0.35">
      <c r="A2357" t="s">
        <v>322</v>
      </c>
      <c r="B2357" s="128">
        <v>41848</v>
      </c>
      <c r="C2357">
        <v>10175.950000000001</v>
      </c>
    </row>
    <row r="2358" spans="1:3" x14ac:dyDescent="0.35">
      <c r="A2358" t="s">
        <v>322</v>
      </c>
      <c r="B2358" s="128">
        <v>41845</v>
      </c>
      <c r="C2358">
        <v>10223.52</v>
      </c>
    </row>
    <row r="2359" spans="1:3" x14ac:dyDescent="0.35">
      <c r="A2359" t="s">
        <v>322</v>
      </c>
      <c r="B2359" s="128">
        <v>41844</v>
      </c>
      <c r="C2359">
        <v>10275.33</v>
      </c>
    </row>
    <row r="2360" spans="1:3" x14ac:dyDescent="0.35">
      <c r="A2360" t="s">
        <v>322</v>
      </c>
      <c r="B2360" s="128">
        <v>41843</v>
      </c>
      <c r="C2360">
        <v>10229.290000000001</v>
      </c>
    </row>
    <row r="2361" spans="1:3" x14ac:dyDescent="0.35">
      <c r="A2361" t="s">
        <v>322</v>
      </c>
      <c r="B2361" s="128">
        <v>41842</v>
      </c>
      <c r="C2361">
        <v>10191.98</v>
      </c>
    </row>
    <row r="2362" spans="1:3" x14ac:dyDescent="0.35">
      <c r="A2362" t="s">
        <v>322</v>
      </c>
      <c r="B2362" s="128">
        <v>41841</v>
      </c>
      <c r="C2362">
        <v>10082.280000000001</v>
      </c>
    </row>
    <row r="2363" spans="1:3" x14ac:dyDescent="0.35">
      <c r="A2363" t="s">
        <v>322</v>
      </c>
      <c r="B2363" s="128">
        <v>41838</v>
      </c>
      <c r="C2363">
        <v>10054.4</v>
      </c>
    </row>
    <row r="2364" spans="1:3" x14ac:dyDescent="0.35">
      <c r="A2364" t="s">
        <v>322</v>
      </c>
      <c r="B2364" s="128">
        <v>41837</v>
      </c>
      <c r="C2364">
        <v>10023.67</v>
      </c>
    </row>
    <row r="2365" spans="1:3" x14ac:dyDescent="0.35">
      <c r="A2365" t="s">
        <v>322</v>
      </c>
      <c r="B2365" s="128">
        <v>41836</v>
      </c>
      <c r="C2365">
        <v>9999.7099999999991</v>
      </c>
    </row>
    <row r="2366" spans="1:3" x14ac:dyDescent="0.35">
      <c r="A2366" t="s">
        <v>322</v>
      </c>
      <c r="B2366" s="128">
        <v>41835</v>
      </c>
      <c r="C2366">
        <v>9871.51</v>
      </c>
    </row>
    <row r="2367" spans="1:3" x14ac:dyDescent="0.35">
      <c r="A2367" t="s">
        <v>322</v>
      </c>
      <c r="B2367" s="128">
        <v>41834</v>
      </c>
      <c r="C2367">
        <v>9776.4599999999991</v>
      </c>
    </row>
    <row r="2368" spans="1:3" x14ac:dyDescent="0.35">
      <c r="A2368" t="s">
        <v>322</v>
      </c>
      <c r="B2368" s="128">
        <v>41831</v>
      </c>
      <c r="C2368">
        <v>9781.6200000000008</v>
      </c>
    </row>
    <row r="2369" spans="1:3" x14ac:dyDescent="0.35">
      <c r="A2369" t="s">
        <v>322</v>
      </c>
      <c r="B2369" s="128">
        <v>41830</v>
      </c>
      <c r="C2369">
        <v>9922.6</v>
      </c>
    </row>
    <row r="2370" spans="1:3" x14ac:dyDescent="0.35">
      <c r="A2370" t="s">
        <v>322</v>
      </c>
      <c r="B2370" s="128">
        <v>41829</v>
      </c>
      <c r="C2370">
        <v>9945.17</v>
      </c>
    </row>
    <row r="2371" spans="1:3" x14ac:dyDescent="0.35">
      <c r="A2371" t="s">
        <v>322</v>
      </c>
      <c r="B2371" s="128">
        <v>41828</v>
      </c>
      <c r="C2371">
        <v>9993.08</v>
      </c>
    </row>
    <row r="2372" spans="1:3" x14ac:dyDescent="0.35">
      <c r="A2372" t="s">
        <v>322</v>
      </c>
      <c r="B2372" s="128">
        <v>41827</v>
      </c>
      <c r="C2372">
        <v>10208.02</v>
      </c>
    </row>
    <row r="2373" spans="1:3" x14ac:dyDescent="0.35">
      <c r="A2373" t="s">
        <v>322</v>
      </c>
      <c r="B2373" s="128">
        <v>41824</v>
      </c>
      <c r="C2373">
        <v>10161.42</v>
      </c>
    </row>
    <row r="2374" spans="1:3" x14ac:dyDescent="0.35">
      <c r="A2374" t="s">
        <v>322</v>
      </c>
      <c r="B2374" s="128">
        <v>41823</v>
      </c>
      <c r="C2374">
        <v>10105.89</v>
      </c>
    </row>
    <row r="2375" spans="1:3" x14ac:dyDescent="0.35">
      <c r="A2375" t="s">
        <v>322</v>
      </c>
      <c r="B2375" s="128">
        <v>41822</v>
      </c>
      <c r="C2375">
        <v>10115.19</v>
      </c>
    </row>
    <row r="2376" spans="1:3" x14ac:dyDescent="0.35">
      <c r="A2376" t="s">
        <v>322</v>
      </c>
      <c r="B2376" s="128">
        <v>41821</v>
      </c>
      <c r="C2376">
        <v>9996.74</v>
      </c>
    </row>
    <row r="2377" spans="1:3" x14ac:dyDescent="0.35">
      <c r="A2377" t="s">
        <v>322</v>
      </c>
      <c r="B2377" s="128">
        <v>41820</v>
      </c>
      <c r="C2377">
        <v>9966.14</v>
      </c>
    </row>
    <row r="2378" spans="1:3" x14ac:dyDescent="0.35">
      <c r="A2378" t="s">
        <v>322</v>
      </c>
      <c r="B2378" s="128">
        <v>41817</v>
      </c>
      <c r="C2378">
        <v>9831.9</v>
      </c>
    </row>
    <row r="2379" spans="1:3" x14ac:dyDescent="0.35">
      <c r="A2379" t="s">
        <v>322</v>
      </c>
      <c r="B2379" s="128">
        <v>41816</v>
      </c>
      <c r="C2379">
        <v>9811.48</v>
      </c>
    </row>
    <row r="2380" spans="1:3" x14ac:dyDescent="0.35">
      <c r="A2380" t="s">
        <v>322</v>
      </c>
      <c r="B2380" s="128">
        <v>41815</v>
      </c>
      <c r="C2380">
        <v>9911.0300000000007</v>
      </c>
    </row>
    <row r="2381" spans="1:3" x14ac:dyDescent="0.35">
      <c r="A2381" t="s">
        <v>322</v>
      </c>
      <c r="B2381" s="128">
        <v>41814</v>
      </c>
      <c r="C2381">
        <v>9925.34</v>
      </c>
    </row>
    <row r="2382" spans="1:3" x14ac:dyDescent="0.35">
      <c r="A2382" t="s">
        <v>322</v>
      </c>
      <c r="B2382" s="128">
        <v>41813</v>
      </c>
      <c r="C2382">
        <v>9811.6200000000008</v>
      </c>
    </row>
    <row r="2383" spans="1:3" x14ac:dyDescent="0.35">
      <c r="A2383" t="s">
        <v>322</v>
      </c>
      <c r="B2383" s="128">
        <v>41810</v>
      </c>
      <c r="C2383">
        <v>9835.35</v>
      </c>
    </row>
    <row r="2384" spans="1:3" x14ac:dyDescent="0.35">
      <c r="A2384" t="s">
        <v>322</v>
      </c>
      <c r="B2384" s="128">
        <v>41809</v>
      </c>
      <c r="C2384">
        <v>9873.61</v>
      </c>
    </row>
    <row r="2385" spans="1:3" x14ac:dyDescent="0.35">
      <c r="A2385" t="s">
        <v>322</v>
      </c>
      <c r="B2385" s="128">
        <v>41808</v>
      </c>
      <c r="C2385">
        <v>9896.5499999999993</v>
      </c>
    </row>
    <row r="2386" spans="1:3" x14ac:dyDescent="0.35">
      <c r="A2386" t="s">
        <v>322</v>
      </c>
      <c r="B2386" s="128">
        <v>41807</v>
      </c>
      <c r="C2386">
        <v>9992.7800000000007</v>
      </c>
    </row>
    <row r="2387" spans="1:3" x14ac:dyDescent="0.35">
      <c r="A2387" t="s">
        <v>322</v>
      </c>
      <c r="B2387" s="128">
        <v>41806</v>
      </c>
      <c r="C2387">
        <v>9864.2900000000009</v>
      </c>
    </row>
    <row r="2388" spans="1:3" x14ac:dyDescent="0.35">
      <c r="A2388" t="s">
        <v>322</v>
      </c>
      <c r="B2388" s="128">
        <v>41803</v>
      </c>
      <c r="C2388">
        <v>9874.4599999999991</v>
      </c>
    </row>
    <row r="2389" spans="1:3" x14ac:dyDescent="0.35">
      <c r="A2389" t="s">
        <v>322</v>
      </c>
      <c r="B2389" s="128">
        <v>41802</v>
      </c>
      <c r="C2389">
        <v>10015.59</v>
      </c>
    </row>
    <row r="2390" spans="1:3" x14ac:dyDescent="0.35">
      <c r="A2390" t="s">
        <v>322</v>
      </c>
      <c r="B2390" s="128">
        <v>41801</v>
      </c>
      <c r="C2390">
        <v>9982.86</v>
      </c>
    </row>
    <row r="2391" spans="1:3" x14ac:dyDescent="0.35">
      <c r="A2391" t="s">
        <v>322</v>
      </c>
      <c r="B2391" s="128">
        <v>41800</v>
      </c>
      <c r="C2391">
        <v>10019.94</v>
      </c>
    </row>
    <row r="2392" spans="1:3" x14ac:dyDescent="0.35">
      <c r="A2392" t="s">
        <v>322</v>
      </c>
      <c r="B2392" s="128">
        <v>41799</v>
      </c>
      <c r="C2392">
        <v>10017.59</v>
      </c>
    </row>
    <row r="2393" spans="1:3" x14ac:dyDescent="0.35">
      <c r="A2393" t="s">
        <v>322</v>
      </c>
      <c r="B2393" s="128">
        <v>41796</v>
      </c>
      <c r="C2393">
        <v>9924.43</v>
      </c>
    </row>
    <row r="2394" spans="1:3" x14ac:dyDescent="0.35">
      <c r="A2394" t="s">
        <v>322</v>
      </c>
      <c r="B2394" s="128">
        <v>41795</v>
      </c>
      <c r="C2394">
        <v>9778.32</v>
      </c>
    </row>
    <row r="2395" spans="1:3" x14ac:dyDescent="0.35">
      <c r="A2395" t="s">
        <v>322</v>
      </c>
      <c r="B2395" s="128">
        <v>41794</v>
      </c>
      <c r="C2395">
        <v>9672.68</v>
      </c>
    </row>
    <row r="2396" spans="1:3" x14ac:dyDescent="0.35">
      <c r="A2396" t="s">
        <v>322</v>
      </c>
      <c r="B2396" s="128">
        <v>41793</v>
      </c>
      <c r="C2396">
        <v>9690.44</v>
      </c>
    </row>
    <row r="2397" spans="1:3" x14ac:dyDescent="0.35">
      <c r="A2397" t="s">
        <v>322</v>
      </c>
      <c r="B2397" s="128">
        <v>41792</v>
      </c>
      <c r="C2397">
        <v>9610.85</v>
      </c>
    </row>
    <row r="2398" spans="1:3" x14ac:dyDescent="0.35">
      <c r="A2398" t="s">
        <v>322</v>
      </c>
      <c r="B2398" s="128">
        <v>41789</v>
      </c>
      <c r="C2398">
        <v>9437.81</v>
      </c>
    </row>
    <row r="2399" spans="1:3" x14ac:dyDescent="0.35">
      <c r="A2399" t="s">
        <v>322</v>
      </c>
      <c r="B2399" s="128">
        <v>41788</v>
      </c>
      <c r="C2399">
        <v>9445.23</v>
      </c>
    </row>
    <row r="2400" spans="1:3" x14ac:dyDescent="0.35">
      <c r="A2400" t="s">
        <v>322</v>
      </c>
      <c r="B2400" s="128">
        <v>41787</v>
      </c>
      <c r="C2400">
        <v>9560.4</v>
      </c>
    </row>
    <row r="2401" spans="1:3" x14ac:dyDescent="0.35">
      <c r="A2401" t="s">
        <v>322</v>
      </c>
      <c r="B2401" s="128">
        <v>41786</v>
      </c>
      <c r="C2401">
        <v>9545.2000000000007</v>
      </c>
    </row>
    <row r="2402" spans="1:3" x14ac:dyDescent="0.35">
      <c r="A2402" t="s">
        <v>322</v>
      </c>
      <c r="B2402" s="128">
        <v>41785</v>
      </c>
      <c r="C2402">
        <v>9598.75</v>
      </c>
    </row>
    <row r="2403" spans="1:3" x14ac:dyDescent="0.35">
      <c r="A2403" t="s">
        <v>322</v>
      </c>
      <c r="B2403" s="128">
        <v>41782</v>
      </c>
      <c r="C2403">
        <v>9609.25</v>
      </c>
    </row>
    <row r="2404" spans="1:3" x14ac:dyDescent="0.35">
      <c r="A2404" t="s">
        <v>322</v>
      </c>
      <c r="B2404" s="128">
        <v>41781</v>
      </c>
      <c r="C2404">
        <v>9490.91</v>
      </c>
    </row>
    <row r="2405" spans="1:3" x14ac:dyDescent="0.35">
      <c r="A2405" t="s">
        <v>322</v>
      </c>
      <c r="B2405" s="128">
        <v>41780</v>
      </c>
      <c r="C2405">
        <v>9460.2800000000007</v>
      </c>
    </row>
    <row r="2406" spans="1:3" x14ac:dyDescent="0.35">
      <c r="A2406" t="s">
        <v>322</v>
      </c>
      <c r="B2406" s="128">
        <v>41779</v>
      </c>
      <c r="C2406">
        <v>9489.73</v>
      </c>
    </row>
    <row r="2407" spans="1:3" x14ac:dyDescent="0.35">
      <c r="A2407" t="s">
        <v>322</v>
      </c>
      <c r="B2407" s="128">
        <v>41778</v>
      </c>
      <c r="C2407">
        <v>9474.16</v>
      </c>
    </row>
    <row r="2408" spans="1:3" x14ac:dyDescent="0.35">
      <c r="A2408" t="s">
        <v>322</v>
      </c>
      <c r="B2408" s="128">
        <v>41775</v>
      </c>
      <c r="C2408">
        <v>9395.18</v>
      </c>
    </row>
    <row r="2409" spans="1:3" x14ac:dyDescent="0.35">
      <c r="A2409" t="s">
        <v>322</v>
      </c>
      <c r="B2409" s="128">
        <v>41774</v>
      </c>
      <c r="C2409">
        <v>9286.39</v>
      </c>
    </row>
    <row r="2410" spans="1:3" x14ac:dyDescent="0.35">
      <c r="A2410" t="s">
        <v>322</v>
      </c>
      <c r="B2410" s="128">
        <v>41773</v>
      </c>
      <c r="C2410">
        <v>9267.61</v>
      </c>
    </row>
    <row r="2411" spans="1:3" x14ac:dyDescent="0.35">
      <c r="A2411" t="s">
        <v>322</v>
      </c>
      <c r="B2411" s="128">
        <v>41772</v>
      </c>
      <c r="C2411">
        <v>9267.61</v>
      </c>
    </row>
    <row r="2412" spans="1:3" x14ac:dyDescent="0.35">
      <c r="A2412" t="s">
        <v>322</v>
      </c>
      <c r="B2412" s="128">
        <v>41771</v>
      </c>
      <c r="C2412">
        <v>9144.41</v>
      </c>
    </row>
    <row r="2413" spans="1:3" x14ac:dyDescent="0.35">
      <c r="A2413" t="s">
        <v>322</v>
      </c>
      <c r="B2413" s="128">
        <v>41768</v>
      </c>
      <c r="C2413">
        <v>8941.77</v>
      </c>
    </row>
    <row r="2414" spans="1:3" x14ac:dyDescent="0.35">
      <c r="A2414" t="s">
        <v>322</v>
      </c>
      <c r="B2414" s="128">
        <v>41767</v>
      </c>
      <c r="C2414">
        <v>8682.3700000000008</v>
      </c>
    </row>
    <row r="2415" spans="1:3" x14ac:dyDescent="0.35">
      <c r="A2415" t="s">
        <v>322</v>
      </c>
      <c r="B2415" s="128">
        <v>41766</v>
      </c>
      <c r="C2415">
        <v>8672.8799999999992</v>
      </c>
    </row>
    <row r="2416" spans="1:3" x14ac:dyDescent="0.35">
      <c r="A2416" t="s">
        <v>322</v>
      </c>
      <c r="B2416" s="128">
        <v>41765</v>
      </c>
      <c r="C2416">
        <v>8754.69</v>
      </c>
    </row>
    <row r="2417" spans="1:3" x14ac:dyDescent="0.35">
      <c r="A2417" t="s">
        <v>322</v>
      </c>
      <c r="B2417" s="128">
        <v>41764</v>
      </c>
      <c r="C2417">
        <v>8733.92</v>
      </c>
    </row>
    <row r="2418" spans="1:3" x14ac:dyDescent="0.35">
      <c r="A2418" t="s">
        <v>322</v>
      </c>
      <c r="B2418" s="128">
        <v>41761</v>
      </c>
      <c r="C2418">
        <v>8727.93</v>
      </c>
    </row>
    <row r="2419" spans="1:3" x14ac:dyDescent="0.35">
      <c r="A2419" t="s">
        <v>322</v>
      </c>
      <c r="B2419" s="128">
        <v>41759</v>
      </c>
      <c r="C2419">
        <v>8730.0499999999993</v>
      </c>
    </row>
    <row r="2420" spans="1:3" x14ac:dyDescent="0.35">
      <c r="A2420" t="s">
        <v>322</v>
      </c>
      <c r="B2420" s="128">
        <v>41758</v>
      </c>
      <c r="C2420">
        <v>8754.65</v>
      </c>
    </row>
    <row r="2421" spans="1:3" x14ac:dyDescent="0.35">
      <c r="A2421" t="s">
        <v>322</v>
      </c>
      <c r="B2421" s="128">
        <v>41757</v>
      </c>
      <c r="C2421">
        <v>8814.59</v>
      </c>
    </row>
    <row r="2422" spans="1:3" x14ac:dyDescent="0.35">
      <c r="A2422" t="s">
        <v>322</v>
      </c>
      <c r="B2422" s="128">
        <v>41754</v>
      </c>
      <c r="C2422">
        <v>8842.6200000000008</v>
      </c>
    </row>
    <row r="2423" spans="1:3" x14ac:dyDescent="0.35">
      <c r="A2423" t="s">
        <v>322</v>
      </c>
      <c r="B2423" s="128">
        <v>41752</v>
      </c>
      <c r="C2423">
        <v>8918.2999999999993</v>
      </c>
    </row>
    <row r="2424" spans="1:3" x14ac:dyDescent="0.35">
      <c r="A2424" t="s">
        <v>322</v>
      </c>
      <c r="B2424" s="128">
        <v>41751</v>
      </c>
      <c r="C2424">
        <v>8885.09</v>
      </c>
    </row>
    <row r="2425" spans="1:3" x14ac:dyDescent="0.35">
      <c r="A2425" t="s">
        <v>322</v>
      </c>
      <c r="B2425" s="128">
        <v>41750</v>
      </c>
      <c r="C2425">
        <v>8887.7800000000007</v>
      </c>
    </row>
    <row r="2426" spans="1:3" x14ac:dyDescent="0.35">
      <c r="A2426" t="s">
        <v>322</v>
      </c>
      <c r="B2426" s="128">
        <v>41746</v>
      </c>
      <c r="C2426">
        <v>8837.92</v>
      </c>
    </row>
    <row r="2427" spans="1:3" x14ac:dyDescent="0.35">
      <c r="A2427" t="s">
        <v>322</v>
      </c>
      <c r="B2427" s="128">
        <v>41745</v>
      </c>
      <c r="C2427">
        <v>8702.2199999999993</v>
      </c>
    </row>
    <row r="2428" spans="1:3" x14ac:dyDescent="0.35">
      <c r="A2428" t="s">
        <v>322</v>
      </c>
      <c r="B2428" s="128">
        <v>41744</v>
      </c>
      <c r="C2428">
        <v>8777.57</v>
      </c>
    </row>
    <row r="2429" spans="1:3" x14ac:dyDescent="0.35">
      <c r="A2429" t="s">
        <v>322</v>
      </c>
      <c r="B2429" s="128">
        <v>41740</v>
      </c>
      <c r="C2429">
        <v>8833.8799999999992</v>
      </c>
    </row>
    <row r="2430" spans="1:3" x14ac:dyDescent="0.35">
      <c r="A2430" t="s">
        <v>322</v>
      </c>
      <c r="B2430" s="128">
        <v>41739</v>
      </c>
      <c r="C2430">
        <v>8860.09</v>
      </c>
    </row>
    <row r="2431" spans="1:3" x14ac:dyDescent="0.35">
      <c r="A2431" t="s">
        <v>322</v>
      </c>
      <c r="B2431" s="128">
        <v>41738</v>
      </c>
      <c r="C2431">
        <v>8859.81</v>
      </c>
    </row>
    <row r="2432" spans="1:3" x14ac:dyDescent="0.35">
      <c r="A2432" t="s">
        <v>322</v>
      </c>
      <c r="B2432" s="128">
        <v>41736</v>
      </c>
      <c r="C2432">
        <v>8727.98</v>
      </c>
    </row>
    <row r="2433" spans="1:3" x14ac:dyDescent="0.35">
      <c r="A2433" t="s">
        <v>322</v>
      </c>
      <c r="B2433" s="128">
        <v>41733</v>
      </c>
      <c r="C2433">
        <v>8727.0300000000007</v>
      </c>
    </row>
    <row r="2434" spans="1:3" x14ac:dyDescent="0.35">
      <c r="A2434" t="s">
        <v>322</v>
      </c>
      <c r="B2434" s="128">
        <v>41732</v>
      </c>
      <c r="C2434">
        <v>8781.4699999999993</v>
      </c>
    </row>
    <row r="2435" spans="1:3" x14ac:dyDescent="0.35">
      <c r="A2435" t="s">
        <v>322</v>
      </c>
      <c r="B2435" s="128">
        <v>41731</v>
      </c>
      <c r="C2435">
        <v>8802.9500000000007</v>
      </c>
    </row>
    <row r="2436" spans="1:3" x14ac:dyDescent="0.35">
      <c r="A2436" t="s">
        <v>322</v>
      </c>
      <c r="B2436" s="128">
        <v>41730</v>
      </c>
      <c r="C2436">
        <v>8761.86</v>
      </c>
    </row>
    <row r="2437" spans="1:3" x14ac:dyDescent="0.35">
      <c r="A2437" t="s">
        <v>322</v>
      </c>
      <c r="B2437" s="128">
        <v>41729</v>
      </c>
      <c r="C2437">
        <v>8739.91</v>
      </c>
    </row>
    <row r="2438" spans="1:3" x14ac:dyDescent="0.35">
      <c r="A2438" t="s">
        <v>322</v>
      </c>
      <c r="B2438" s="128">
        <v>41726</v>
      </c>
      <c r="C2438">
        <v>8729.0499999999993</v>
      </c>
    </row>
    <row r="2439" spans="1:3" x14ac:dyDescent="0.35">
      <c r="A2439" t="s">
        <v>322</v>
      </c>
      <c r="B2439" s="128">
        <v>41725</v>
      </c>
      <c r="C2439">
        <v>8658.4599999999991</v>
      </c>
    </row>
    <row r="2440" spans="1:3" x14ac:dyDescent="0.35">
      <c r="A2440" t="s">
        <v>322</v>
      </c>
      <c r="B2440" s="128">
        <v>41724</v>
      </c>
      <c r="C2440">
        <v>8603.6299999999992</v>
      </c>
    </row>
    <row r="2441" spans="1:3" x14ac:dyDescent="0.35">
      <c r="A2441" t="s">
        <v>322</v>
      </c>
      <c r="B2441" s="128">
        <v>41723</v>
      </c>
      <c r="C2441">
        <v>8588.44</v>
      </c>
    </row>
    <row r="2442" spans="1:3" x14ac:dyDescent="0.35">
      <c r="A2442" t="s">
        <v>322</v>
      </c>
      <c r="B2442" s="128">
        <v>41722</v>
      </c>
      <c r="C2442">
        <v>8580.26</v>
      </c>
    </row>
    <row r="2443" spans="1:3" x14ac:dyDescent="0.35">
      <c r="A2443" t="s">
        <v>322</v>
      </c>
      <c r="B2443" s="128">
        <v>41720</v>
      </c>
      <c r="C2443">
        <v>8464.2800000000007</v>
      </c>
    </row>
    <row r="2444" spans="1:3" x14ac:dyDescent="0.35">
      <c r="A2444" t="s">
        <v>322</v>
      </c>
      <c r="B2444" s="128">
        <v>41719</v>
      </c>
      <c r="C2444">
        <v>8462.06</v>
      </c>
    </row>
    <row r="2445" spans="1:3" x14ac:dyDescent="0.35">
      <c r="A2445" t="s">
        <v>322</v>
      </c>
      <c r="B2445" s="128">
        <v>41718</v>
      </c>
      <c r="C2445">
        <v>8448.89</v>
      </c>
    </row>
    <row r="2446" spans="1:3" x14ac:dyDescent="0.35">
      <c r="A2446" t="s">
        <v>322</v>
      </c>
      <c r="B2446" s="128">
        <v>41717</v>
      </c>
      <c r="C2446">
        <v>8502.2800000000007</v>
      </c>
    </row>
    <row r="2447" spans="1:3" x14ac:dyDescent="0.35">
      <c r="A2447" t="s">
        <v>322</v>
      </c>
      <c r="B2447" s="128">
        <v>41716</v>
      </c>
      <c r="C2447">
        <v>8492.6200000000008</v>
      </c>
    </row>
    <row r="2448" spans="1:3" x14ac:dyDescent="0.35">
      <c r="A2448" t="s">
        <v>322</v>
      </c>
      <c r="B2448" s="128">
        <v>41712</v>
      </c>
      <c r="C2448">
        <v>8476.35</v>
      </c>
    </row>
    <row r="2449" spans="1:3" x14ac:dyDescent="0.35">
      <c r="A2449" t="s">
        <v>322</v>
      </c>
      <c r="B2449" s="128">
        <v>41711</v>
      </c>
      <c r="C2449">
        <v>8461.93</v>
      </c>
    </row>
    <row r="2450" spans="1:3" x14ac:dyDescent="0.35">
      <c r="A2450" t="s">
        <v>322</v>
      </c>
      <c r="B2450" s="128">
        <v>41710</v>
      </c>
      <c r="C2450">
        <v>8492.91</v>
      </c>
    </row>
    <row r="2451" spans="1:3" x14ac:dyDescent="0.35">
      <c r="A2451" t="s">
        <v>322</v>
      </c>
      <c r="B2451" s="128">
        <v>41709</v>
      </c>
      <c r="C2451">
        <v>8486.39</v>
      </c>
    </row>
    <row r="2452" spans="1:3" x14ac:dyDescent="0.35">
      <c r="A2452" t="s">
        <v>322</v>
      </c>
      <c r="B2452" s="128">
        <v>41708</v>
      </c>
      <c r="C2452">
        <v>8518.0300000000007</v>
      </c>
    </row>
    <row r="2453" spans="1:3" x14ac:dyDescent="0.35">
      <c r="A2453" t="s">
        <v>322</v>
      </c>
      <c r="B2453" s="128">
        <v>41705</v>
      </c>
      <c r="C2453">
        <v>8504.2199999999993</v>
      </c>
    </row>
    <row r="2454" spans="1:3" x14ac:dyDescent="0.35">
      <c r="A2454" t="s">
        <v>322</v>
      </c>
      <c r="B2454" s="128">
        <v>41704</v>
      </c>
      <c r="C2454">
        <v>8340.7099999999991</v>
      </c>
    </row>
    <row r="2455" spans="1:3" x14ac:dyDescent="0.35">
      <c r="A2455" t="s">
        <v>322</v>
      </c>
      <c r="B2455" s="128">
        <v>41703</v>
      </c>
      <c r="C2455">
        <v>8246.2199999999993</v>
      </c>
    </row>
    <row r="2456" spans="1:3" x14ac:dyDescent="0.35">
      <c r="A2456" t="s">
        <v>322</v>
      </c>
      <c r="B2456" s="128">
        <v>41702</v>
      </c>
      <c r="C2456">
        <v>8206.23</v>
      </c>
    </row>
    <row r="2457" spans="1:3" x14ac:dyDescent="0.35">
      <c r="A2457" t="s">
        <v>322</v>
      </c>
      <c r="B2457" s="128">
        <v>41701</v>
      </c>
      <c r="C2457">
        <v>8105.73</v>
      </c>
    </row>
    <row r="2458" spans="1:3" x14ac:dyDescent="0.35">
      <c r="A2458" t="s">
        <v>322</v>
      </c>
      <c r="B2458" s="128">
        <v>41698</v>
      </c>
      <c r="C2458">
        <v>8178.01</v>
      </c>
    </row>
    <row r="2459" spans="1:3" x14ac:dyDescent="0.35">
      <c r="A2459" t="s">
        <v>322</v>
      </c>
      <c r="B2459" s="128">
        <v>41696</v>
      </c>
      <c r="C2459">
        <v>8128.29</v>
      </c>
    </row>
    <row r="2460" spans="1:3" x14ac:dyDescent="0.35">
      <c r="A2460" t="s">
        <v>322</v>
      </c>
      <c r="B2460" s="128">
        <v>41695</v>
      </c>
      <c r="C2460">
        <v>8077.85</v>
      </c>
    </row>
    <row r="2461" spans="1:3" x14ac:dyDescent="0.35">
      <c r="A2461" t="s">
        <v>322</v>
      </c>
      <c r="B2461" s="128">
        <v>41694</v>
      </c>
      <c r="C2461">
        <v>8059.67</v>
      </c>
    </row>
    <row r="2462" spans="1:3" x14ac:dyDescent="0.35">
      <c r="A2462" t="s">
        <v>322</v>
      </c>
      <c r="B2462" s="128">
        <v>41691</v>
      </c>
      <c r="C2462">
        <v>8019.69</v>
      </c>
    </row>
    <row r="2463" spans="1:3" x14ac:dyDescent="0.35">
      <c r="A2463" t="s">
        <v>322</v>
      </c>
      <c r="B2463" s="128">
        <v>41690</v>
      </c>
      <c r="C2463">
        <v>7936.34</v>
      </c>
    </row>
    <row r="2464" spans="1:3" x14ac:dyDescent="0.35">
      <c r="A2464" t="s">
        <v>322</v>
      </c>
      <c r="B2464" s="128">
        <v>41689</v>
      </c>
      <c r="C2464">
        <v>8016.2</v>
      </c>
    </row>
    <row r="2465" spans="1:3" x14ac:dyDescent="0.35">
      <c r="A2465" t="s">
        <v>322</v>
      </c>
      <c r="B2465" s="128">
        <v>41688</v>
      </c>
      <c r="C2465">
        <v>7982.78</v>
      </c>
    </row>
    <row r="2466" spans="1:3" x14ac:dyDescent="0.35">
      <c r="A2466" t="s">
        <v>322</v>
      </c>
      <c r="B2466" s="128">
        <v>41687</v>
      </c>
      <c r="C2466">
        <v>7912.71</v>
      </c>
    </row>
    <row r="2467" spans="1:3" x14ac:dyDescent="0.35">
      <c r="A2467" t="s">
        <v>322</v>
      </c>
      <c r="B2467" s="128">
        <v>41684</v>
      </c>
      <c r="C2467">
        <v>7878.87</v>
      </c>
    </row>
    <row r="2468" spans="1:3" x14ac:dyDescent="0.35">
      <c r="A2468" t="s">
        <v>322</v>
      </c>
      <c r="B2468" s="128">
        <v>41683</v>
      </c>
      <c r="C2468">
        <v>7817.32</v>
      </c>
    </row>
    <row r="2469" spans="1:3" x14ac:dyDescent="0.35">
      <c r="A2469" t="s">
        <v>322</v>
      </c>
      <c r="B2469" s="128">
        <v>41682</v>
      </c>
      <c r="C2469">
        <v>7925.09</v>
      </c>
    </row>
    <row r="2470" spans="1:3" x14ac:dyDescent="0.35">
      <c r="A2470" t="s">
        <v>322</v>
      </c>
      <c r="B2470" s="128">
        <v>41681</v>
      </c>
      <c r="C2470">
        <v>7896.79</v>
      </c>
    </row>
    <row r="2471" spans="1:3" x14ac:dyDescent="0.35">
      <c r="A2471" t="s">
        <v>322</v>
      </c>
      <c r="B2471" s="128">
        <v>41680</v>
      </c>
      <c r="C2471">
        <v>7884.34</v>
      </c>
    </row>
    <row r="2472" spans="1:3" x14ac:dyDescent="0.35">
      <c r="A2472" t="s">
        <v>322</v>
      </c>
      <c r="B2472" s="128">
        <v>41677</v>
      </c>
      <c r="C2472">
        <v>7896.41</v>
      </c>
    </row>
    <row r="2473" spans="1:3" x14ac:dyDescent="0.35">
      <c r="A2473" t="s">
        <v>322</v>
      </c>
      <c r="B2473" s="128">
        <v>41676</v>
      </c>
      <c r="C2473">
        <v>7861.05</v>
      </c>
    </row>
    <row r="2474" spans="1:3" x14ac:dyDescent="0.35">
      <c r="A2474" t="s">
        <v>322</v>
      </c>
      <c r="B2474" s="128">
        <v>41675</v>
      </c>
      <c r="C2474">
        <v>7842.98</v>
      </c>
    </row>
    <row r="2475" spans="1:3" x14ac:dyDescent="0.35">
      <c r="A2475" t="s">
        <v>322</v>
      </c>
      <c r="B2475" s="128">
        <v>41674</v>
      </c>
      <c r="C2475">
        <v>7814.96</v>
      </c>
    </row>
    <row r="2476" spans="1:3" x14ac:dyDescent="0.35">
      <c r="A2476" t="s">
        <v>322</v>
      </c>
      <c r="B2476" s="128">
        <v>41673</v>
      </c>
      <c r="C2476">
        <v>7816.09</v>
      </c>
    </row>
  </sheetData>
  <mergeCells count="2">
    <mergeCell ref="F1:K1"/>
    <mergeCell ref="M1:Q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0CFCD4-CA82-4EA4-9015-4018B2A7AE0C}">
  <dimension ref="A1:X224"/>
  <sheetViews>
    <sheetView showGridLines="0" zoomScale="54" zoomScaleNormal="76" workbookViewId="0">
      <selection activeCell="G27" sqref="G27"/>
    </sheetView>
  </sheetViews>
  <sheetFormatPr defaultColWidth="11.6328125" defaultRowHeight="14.5" outlineLevelRow="1" x14ac:dyDescent="0.35"/>
  <cols>
    <col min="1" max="3" width="1.26953125" style="1" customWidth="1"/>
    <col min="4" max="4" width="43.453125" style="1" bestFit="1" customWidth="1"/>
    <col min="5" max="5" width="17.81640625" style="1" bestFit="1" customWidth="1"/>
    <col min="6" max="6" width="10.54296875" style="1" bestFit="1" customWidth="1"/>
    <col min="7" max="7" width="10.90625" style="1" bestFit="1" customWidth="1"/>
    <col min="8" max="8" width="14.26953125" style="1" bestFit="1" customWidth="1"/>
    <col min="9" max="10" width="12" style="1" bestFit="1" customWidth="1"/>
    <col min="11" max="11" width="13.08984375" style="1" bestFit="1" customWidth="1"/>
    <col min="12" max="12" width="11.08984375" style="1" bestFit="1" customWidth="1"/>
    <col min="13" max="13" width="13.90625" style="1" bestFit="1" customWidth="1"/>
    <col min="14" max="14" width="12" style="1" bestFit="1" customWidth="1"/>
    <col min="15" max="15" width="11.6328125" style="1"/>
    <col min="16" max="16" width="11.7265625" style="1" bestFit="1" customWidth="1"/>
    <col min="17" max="17" width="11.7265625" style="1" customWidth="1"/>
    <col min="18" max="18" width="13.1796875" style="1" bestFit="1" customWidth="1"/>
    <col min="19" max="19" width="11.7265625" style="1" customWidth="1"/>
    <col min="20" max="21" width="11.7265625" style="1" bestFit="1" customWidth="1"/>
    <col min="22" max="16384" width="11.6328125" style="1"/>
  </cols>
  <sheetData>
    <row r="1" spans="1:21" ht="33" x14ac:dyDescent="0.7">
      <c r="A1" s="31" t="s">
        <v>168</v>
      </c>
      <c r="B1" s="32"/>
      <c r="C1" s="32"/>
      <c r="D1" s="32"/>
      <c r="E1" s="33"/>
      <c r="F1" s="224"/>
      <c r="G1" s="224"/>
      <c r="H1" s="224"/>
      <c r="I1" s="224"/>
      <c r="J1" s="224"/>
      <c r="K1" s="224"/>
      <c r="L1" s="224"/>
      <c r="M1" s="36"/>
      <c r="N1" s="225"/>
      <c r="O1" s="225"/>
      <c r="P1" s="225"/>
      <c r="Q1" s="225"/>
      <c r="R1" s="225"/>
      <c r="S1" s="225"/>
      <c r="T1" s="225"/>
      <c r="U1" s="225"/>
    </row>
    <row r="2" spans="1:21" ht="20.5" x14ac:dyDescent="0.45">
      <c r="A2" s="34"/>
      <c r="B2" s="32"/>
      <c r="C2" s="32"/>
      <c r="D2" s="32"/>
      <c r="E2" s="33"/>
      <c r="F2" s="33"/>
      <c r="G2" s="33"/>
      <c r="H2" s="33"/>
      <c r="I2" s="35"/>
      <c r="J2" s="35"/>
      <c r="K2" s="35"/>
      <c r="L2" s="35"/>
      <c r="M2" s="35"/>
      <c r="N2" s="37"/>
      <c r="O2" s="37"/>
      <c r="P2" s="37"/>
      <c r="Q2" s="37"/>
      <c r="R2" s="37"/>
      <c r="S2" s="37"/>
      <c r="T2" s="37"/>
      <c r="U2" s="37"/>
    </row>
    <row r="3" spans="1:21" ht="20.5" x14ac:dyDescent="0.45">
      <c r="A3" s="57"/>
      <c r="B3" s="53"/>
      <c r="C3" s="53"/>
      <c r="D3" s="53"/>
      <c r="E3" s="54"/>
      <c r="F3" s="54"/>
      <c r="G3" s="54"/>
      <c r="H3" s="54"/>
      <c r="I3" s="55"/>
      <c r="J3" s="55"/>
      <c r="K3" s="55"/>
      <c r="L3" s="55"/>
      <c r="M3" s="55"/>
      <c r="N3" s="56"/>
      <c r="O3" s="56"/>
      <c r="P3" s="56"/>
      <c r="Q3" s="56"/>
      <c r="R3" s="56"/>
      <c r="S3" s="56"/>
      <c r="T3" s="56"/>
      <c r="U3" s="56"/>
    </row>
    <row r="4" spans="1:21" ht="15.5" x14ac:dyDescent="0.35">
      <c r="A4" s="81"/>
      <c r="B4" s="81"/>
      <c r="C4" s="81"/>
      <c r="D4" s="86"/>
      <c r="E4" s="230" t="s">
        <v>301</v>
      </c>
      <c r="F4" s="230"/>
      <c r="G4" s="230"/>
      <c r="H4" s="230"/>
      <c r="I4" s="230"/>
      <c r="J4" s="230"/>
      <c r="K4" s="230"/>
      <c r="L4" s="90"/>
      <c r="M4" s="231" t="s">
        <v>302</v>
      </c>
      <c r="N4" s="231"/>
      <c r="O4" s="231"/>
      <c r="P4" s="91"/>
      <c r="Q4" s="232" t="s">
        <v>304</v>
      </c>
      <c r="R4" s="232"/>
      <c r="S4" s="232"/>
      <c r="T4" s="95"/>
      <c r="U4" s="95"/>
    </row>
    <row r="5" spans="1:21" ht="15.5" x14ac:dyDescent="0.35">
      <c r="A5" s="81"/>
      <c r="B5" s="81"/>
      <c r="C5" s="69"/>
      <c r="D5" s="88"/>
      <c r="E5" s="86" t="s">
        <v>275</v>
      </c>
      <c r="F5" s="86" t="s">
        <v>276</v>
      </c>
      <c r="G5" s="86" t="s">
        <v>277</v>
      </c>
      <c r="H5" s="86" t="s">
        <v>299</v>
      </c>
      <c r="I5" s="86" t="s">
        <v>204</v>
      </c>
      <c r="J5" s="86" t="s">
        <v>188</v>
      </c>
      <c r="K5" s="92" t="s">
        <v>300</v>
      </c>
      <c r="L5" s="88"/>
      <c r="M5" s="86" t="s">
        <v>278</v>
      </c>
      <c r="N5" s="86" t="s">
        <v>177</v>
      </c>
      <c r="O5" s="86" t="s">
        <v>303</v>
      </c>
      <c r="P5" s="33"/>
      <c r="Q5" s="88" t="s">
        <v>305</v>
      </c>
      <c r="R5" s="88" t="s">
        <v>306</v>
      </c>
      <c r="S5" s="88" t="s">
        <v>307</v>
      </c>
      <c r="T5" s="96"/>
      <c r="U5" s="96"/>
    </row>
    <row r="6" spans="1:21" s="54" customFormat="1" ht="15.5" x14ac:dyDescent="0.35">
      <c r="A6" s="81"/>
      <c r="B6" s="81"/>
      <c r="C6" s="81"/>
      <c r="D6" s="86" t="s">
        <v>274</v>
      </c>
      <c r="E6" s="88"/>
      <c r="F6" s="88" t="s">
        <v>298</v>
      </c>
      <c r="G6" s="88" t="s">
        <v>296</v>
      </c>
      <c r="H6" s="89" t="s">
        <v>297</v>
      </c>
      <c r="I6" s="92"/>
      <c r="J6" s="88"/>
      <c r="K6" s="89" t="s">
        <v>297</v>
      </c>
      <c r="L6" s="88"/>
      <c r="M6" s="89" t="s">
        <v>297</v>
      </c>
      <c r="N6" s="89" t="s">
        <v>297</v>
      </c>
      <c r="O6" s="89" t="s">
        <v>297</v>
      </c>
      <c r="P6" s="33"/>
      <c r="Q6" s="89" t="s">
        <v>308</v>
      </c>
      <c r="R6" s="89" t="s">
        <v>308</v>
      </c>
      <c r="S6" s="89" t="s">
        <v>308</v>
      </c>
      <c r="T6" s="97"/>
      <c r="U6" s="97"/>
    </row>
    <row r="7" spans="1:21" ht="15.5" x14ac:dyDescent="0.35">
      <c r="A7" s="81"/>
      <c r="B7" s="81"/>
      <c r="C7" s="81"/>
      <c r="F7" s="64"/>
      <c r="G7" s="64"/>
      <c r="H7" s="64"/>
      <c r="I7" s="64"/>
      <c r="J7" s="64"/>
      <c r="K7" s="64"/>
      <c r="L7" s="64"/>
      <c r="M7" s="64"/>
      <c r="N7" s="64"/>
      <c r="O7" s="64"/>
      <c r="P7" s="64"/>
      <c r="Q7" s="66"/>
      <c r="R7" s="66"/>
      <c r="S7" s="66"/>
      <c r="U7" s="64"/>
    </row>
    <row r="8" spans="1:21" ht="15.5" x14ac:dyDescent="0.35">
      <c r="A8" s="43"/>
      <c r="B8" s="43"/>
      <c r="C8" s="43"/>
      <c r="D8" s="84" t="s">
        <v>281</v>
      </c>
      <c r="E8" s="85">
        <v>500124</v>
      </c>
      <c r="F8" s="64">
        <v>6445</v>
      </c>
      <c r="G8" s="64">
        <v>166.62</v>
      </c>
      <c r="H8" s="64">
        <f>F8*G8</f>
        <v>1073865.9000000001</v>
      </c>
      <c r="I8" s="64">
        <v>19766.03</v>
      </c>
      <c r="J8" s="64">
        <v>72239.47</v>
      </c>
      <c r="K8" s="64">
        <f t="shared" ref="K8:K17" si="0">H8+I8-J8</f>
        <v>1021392.4600000002</v>
      </c>
      <c r="L8" s="64"/>
      <c r="M8" s="64">
        <v>270140.78000000003</v>
      </c>
      <c r="N8" s="64">
        <v>80632.399999999994</v>
      </c>
      <c r="O8" s="64">
        <v>51982.55</v>
      </c>
      <c r="P8" s="64"/>
      <c r="Q8" s="66">
        <f t="shared" ref="Q8:Q17" si="1">K8/M8</f>
        <v>3.7809636146012462</v>
      </c>
      <c r="R8" s="66">
        <f t="shared" ref="R8:R17" si="2">K8/N8</f>
        <v>12.667270972958764</v>
      </c>
      <c r="S8" s="66">
        <f t="shared" ref="S8:S16" si="3">H8/O8</f>
        <v>20.658199722791593</v>
      </c>
      <c r="U8" s="64"/>
    </row>
    <row r="9" spans="1:21" ht="15.5" customHeight="1" x14ac:dyDescent="0.35">
      <c r="A9" s="43"/>
      <c r="B9" s="43"/>
      <c r="C9" s="43"/>
      <c r="D9" s="84" t="s">
        <v>282</v>
      </c>
      <c r="E9" s="85" t="s">
        <v>283</v>
      </c>
      <c r="F9" s="64">
        <v>923.25</v>
      </c>
      <c r="G9" s="64">
        <v>1012.08</v>
      </c>
      <c r="H9" s="64">
        <f t="shared" ref="H9:H17" si="4">F9*G9</f>
        <v>934402.86</v>
      </c>
      <c r="I9" s="64">
        <v>1910.79</v>
      </c>
      <c r="J9" s="64">
        <v>15129.96</v>
      </c>
      <c r="K9" s="64">
        <f t="shared" si="0"/>
        <v>921183.69000000006</v>
      </c>
      <c r="L9" s="64"/>
      <c r="M9" s="64">
        <v>187864.45</v>
      </c>
      <c r="N9" s="64">
        <v>49048.66</v>
      </c>
      <c r="O9" s="64">
        <v>29610.720000000001</v>
      </c>
      <c r="P9" s="64"/>
      <c r="Q9" s="66">
        <f t="shared" si="1"/>
        <v>4.903448683345891</v>
      </c>
      <c r="R9" s="66">
        <f t="shared" si="2"/>
        <v>18.781016443670428</v>
      </c>
      <c r="S9" s="66">
        <f t="shared" si="3"/>
        <v>31.556235714633075</v>
      </c>
      <c r="U9" s="64"/>
    </row>
    <row r="10" spans="1:21" ht="15.5" x14ac:dyDescent="0.35">
      <c r="A10" s="43"/>
      <c r="B10" s="43"/>
      <c r="C10" s="43"/>
      <c r="D10" s="84" t="s">
        <v>284</v>
      </c>
      <c r="E10" s="85">
        <v>500420</v>
      </c>
      <c r="F10" s="64">
        <v>2627.1</v>
      </c>
      <c r="G10" s="64">
        <v>338.34</v>
      </c>
      <c r="H10" s="64">
        <f t="shared" si="4"/>
        <v>888853.01399999985</v>
      </c>
      <c r="I10" s="64">
        <v>44697.86</v>
      </c>
      <c r="J10" s="64">
        <v>7866</v>
      </c>
      <c r="K10" s="64">
        <f t="shared" si="0"/>
        <v>925684.87399999984</v>
      </c>
      <c r="L10" s="64"/>
      <c r="M10" s="64">
        <v>104303.15</v>
      </c>
      <c r="N10" s="64">
        <v>31025.41</v>
      </c>
      <c r="O10" s="64">
        <v>14878.34</v>
      </c>
      <c r="P10" s="64"/>
      <c r="Q10" s="66">
        <f t="shared" si="1"/>
        <v>8.8749464805233576</v>
      </c>
      <c r="R10" s="66">
        <f t="shared" si="2"/>
        <v>29.836346207834154</v>
      </c>
      <c r="S10" s="66">
        <f t="shared" si="3"/>
        <v>59.741410264854807</v>
      </c>
      <c r="U10" s="64"/>
    </row>
    <row r="11" spans="1:21" ht="15.5" x14ac:dyDescent="0.35">
      <c r="A11" s="43"/>
      <c r="B11" s="43"/>
      <c r="C11" s="43"/>
      <c r="D11" s="84" t="s">
        <v>285</v>
      </c>
      <c r="E11" s="85" t="s">
        <v>286</v>
      </c>
      <c r="F11" s="64">
        <v>2154.0500000000002</v>
      </c>
      <c r="G11" s="64">
        <v>400.95</v>
      </c>
      <c r="H11" s="64">
        <f t="shared" si="4"/>
        <v>863666.34750000003</v>
      </c>
      <c r="I11" s="64">
        <v>1786.67</v>
      </c>
      <c r="J11" s="64">
        <v>23159</v>
      </c>
      <c r="K11" s="64">
        <f t="shared" si="0"/>
        <v>842294.01750000007</v>
      </c>
      <c r="L11" s="64"/>
      <c r="M11" s="64">
        <v>99037.7</v>
      </c>
      <c r="N11" s="64">
        <v>23053.59</v>
      </c>
      <c r="O11" s="64">
        <v>17197.05</v>
      </c>
      <c r="P11" s="64"/>
      <c r="Q11" s="66">
        <f t="shared" si="1"/>
        <v>8.5047816891951253</v>
      </c>
      <c r="R11" s="66">
        <f t="shared" si="2"/>
        <v>36.536349327805347</v>
      </c>
      <c r="S11" s="66">
        <f t="shared" si="3"/>
        <v>50.221773356476845</v>
      </c>
      <c r="U11" s="64"/>
    </row>
    <row r="12" spans="1:21" ht="15.5" x14ac:dyDescent="0.35">
      <c r="A12" s="43"/>
      <c r="B12" s="43"/>
      <c r="C12" s="43"/>
      <c r="D12" s="84" t="s">
        <v>287</v>
      </c>
      <c r="E12" s="85">
        <v>500257</v>
      </c>
      <c r="F12" s="64">
        <v>1612.2</v>
      </c>
      <c r="G12" s="64">
        <v>457.21</v>
      </c>
      <c r="H12" s="64">
        <f t="shared" si="4"/>
        <v>737113.96199999994</v>
      </c>
      <c r="I12" s="64">
        <v>37684.11</v>
      </c>
      <c r="J12" s="64">
        <v>17254</v>
      </c>
      <c r="K12" s="64">
        <f t="shared" si="0"/>
        <v>757544.07199999993</v>
      </c>
      <c r="L12" s="64"/>
      <c r="M12" s="64">
        <v>193799.04000000001</v>
      </c>
      <c r="N12" s="64">
        <v>31333.96</v>
      </c>
      <c r="O12" s="64">
        <v>17833.439999999999</v>
      </c>
      <c r="P12" s="64"/>
      <c r="Q12" s="66">
        <f t="shared" si="1"/>
        <v>3.9089155033998098</v>
      </c>
      <c r="R12" s="66">
        <f t="shared" si="2"/>
        <v>24.176454938986325</v>
      </c>
      <c r="S12" s="66">
        <f t="shared" si="3"/>
        <v>41.333245969369905</v>
      </c>
      <c r="U12" s="64"/>
    </row>
    <row r="13" spans="1:21" ht="16" customHeight="1" x14ac:dyDescent="0.35">
      <c r="A13" s="43"/>
      <c r="B13" s="43"/>
      <c r="C13" s="43"/>
      <c r="D13" s="84" t="s">
        <v>288</v>
      </c>
      <c r="E13" s="85" t="s">
        <v>289</v>
      </c>
      <c r="F13" s="64">
        <v>1043.8</v>
      </c>
      <c r="G13" s="64">
        <v>586.5</v>
      </c>
      <c r="H13" s="64">
        <f t="shared" si="4"/>
        <v>612188.69999999995</v>
      </c>
      <c r="I13" s="64">
        <v>66201.73</v>
      </c>
      <c r="J13" s="64">
        <v>71184</v>
      </c>
      <c r="K13" s="64">
        <f t="shared" si="0"/>
        <v>607206.42999999993</v>
      </c>
      <c r="L13" s="64"/>
      <c r="M13" s="64">
        <v>277103.84999999998</v>
      </c>
      <c r="N13" s="64">
        <v>48727.42</v>
      </c>
      <c r="O13" s="64">
        <v>27586.32</v>
      </c>
      <c r="P13" s="64"/>
      <c r="Q13" s="66">
        <f t="shared" si="1"/>
        <v>2.1912594502025144</v>
      </c>
      <c r="R13" s="66">
        <f t="shared" si="2"/>
        <v>12.461288325956925</v>
      </c>
      <c r="S13" s="66">
        <f t="shared" si="3"/>
        <v>22.191749388827503</v>
      </c>
      <c r="U13" s="64"/>
    </row>
    <row r="14" spans="1:21" ht="15.5" x14ac:dyDescent="0.35">
      <c r="A14" s="43"/>
      <c r="B14" s="43"/>
      <c r="C14" s="43"/>
      <c r="D14" s="84" t="s">
        <v>290</v>
      </c>
      <c r="E14" s="85">
        <v>500488</v>
      </c>
      <c r="F14" s="64">
        <v>28686.2</v>
      </c>
      <c r="G14" s="64">
        <v>21.25</v>
      </c>
      <c r="H14" s="64">
        <f t="shared" si="4"/>
        <v>609581.75</v>
      </c>
      <c r="I14" s="64">
        <v>911.48</v>
      </c>
      <c r="J14" s="64">
        <v>19432</v>
      </c>
      <c r="K14" s="64">
        <f t="shared" si="0"/>
        <v>591061.23</v>
      </c>
      <c r="L14" s="64"/>
      <c r="M14" s="64">
        <v>57287.35</v>
      </c>
      <c r="N14" s="64">
        <v>13599.67</v>
      </c>
      <c r="O14" s="64">
        <v>11406.77</v>
      </c>
      <c r="P14" s="64"/>
      <c r="Q14" s="66">
        <f t="shared" si="1"/>
        <v>10.31748248086183</v>
      </c>
      <c r="R14" s="66">
        <f t="shared" si="2"/>
        <v>43.461439137861433</v>
      </c>
      <c r="S14" s="66">
        <f t="shared" si="3"/>
        <v>53.440347267456076</v>
      </c>
      <c r="U14" s="64"/>
    </row>
    <row r="15" spans="1:21" ht="16.5" customHeight="1" x14ac:dyDescent="0.35">
      <c r="A15" s="43"/>
      <c r="B15" s="43"/>
      <c r="C15" s="43"/>
      <c r="D15" s="84" t="s">
        <v>291</v>
      </c>
      <c r="E15" s="85">
        <v>500660</v>
      </c>
      <c r="F15" s="64">
        <v>2169</v>
      </c>
      <c r="G15" s="64">
        <v>169.37</v>
      </c>
      <c r="H15" s="64">
        <f t="shared" si="4"/>
        <v>367363.53</v>
      </c>
      <c r="I15" s="64">
        <v>212.88</v>
      </c>
      <c r="J15" s="64">
        <v>15984</v>
      </c>
      <c r="K15" s="64">
        <f t="shared" si="0"/>
        <v>351592.41000000003</v>
      </c>
      <c r="L15" s="64"/>
      <c r="M15" s="64">
        <v>32971.9</v>
      </c>
      <c r="N15" s="64">
        <v>7958.68</v>
      </c>
      <c r="O15" s="64">
        <v>5266.43</v>
      </c>
      <c r="P15" s="64"/>
      <c r="Q15" s="66">
        <f t="shared" si="1"/>
        <v>10.663395497378071</v>
      </c>
      <c r="R15" s="66">
        <f t="shared" si="2"/>
        <v>44.177226625520817</v>
      </c>
      <c r="S15" s="66">
        <f t="shared" si="3"/>
        <v>69.75570357908488</v>
      </c>
      <c r="U15" s="64"/>
    </row>
    <row r="16" spans="1:21" ht="15.5" x14ac:dyDescent="0.35">
      <c r="A16" s="43"/>
      <c r="B16" s="43"/>
      <c r="C16" s="43"/>
      <c r="D16" s="84" t="s">
        <v>292</v>
      </c>
      <c r="E16" s="85" t="s">
        <v>293</v>
      </c>
      <c r="F16" s="64">
        <v>1217.7</v>
      </c>
      <c r="G16" s="64">
        <v>253.64</v>
      </c>
      <c r="H16" s="64">
        <f t="shared" si="4"/>
        <v>308857.42800000001</v>
      </c>
      <c r="I16" s="64">
        <v>19789.53</v>
      </c>
      <c r="J16" s="64">
        <v>9300</v>
      </c>
      <c r="K16" s="64">
        <f t="shared" si="0"/>
        <v>319346.95799999998</v>
      </c>
      <c r="L16" s="64"/>
      <c r="M16" s="64">
        <v>71529.13</v>
      </c>
      <c r="N16" s="64">
        <v>11088.19</v>
      </c>
      <c r="O16" s="64">
        <v>5618.65</v>
      </c>
      <c r="P16" s="64"/>
      <c r="Q16" s="66">
        <f t="shared" si="1"/>
        <v>4.4645720981088397</v>
      </c>
      <c r="R16" s="66">
        <f t="shared" si="2"/>
        <v>28.800639058313394</v>
      </c>
      <c r="S16" s="66">
        <f t="shared" si="3"/>
        <v>54.970042269940294</v>
      </c>
      <c r="U16" s="64"/>
    </row>
    <row r="17" spans="1:24" ht="15.5" x14ac:dyDescent="0.35">
      <c r="A17" s="43"/>
      <c r="B17" s="43"/>
      <c r="C17" s="43"/>
      <c r="D17" s="84" t="s">
        <v>294</v>
      </c>
      <c r="E17" s="85" t="s">
        <v>295</v>
      </c>
      <c r="F17" s="64">
        <v>1861.1</v>
      </c>
      <c r="G17" s="64">
        <v>164.72</v>
      </c>
      <c r="H17" s="64">
        <f t="shared" si="4"/>
        <v>306560.39199999999</v>
      </c>
      <c r="I17" s="64">
        <v>3555.02</v>
      </c>
      <c r="J17" s="64">
        <v>21355</v>
      </c>
      <c r="K17" s="64">
        <f t="shared" si="0"/>
        <v>288760.41200000001</v>
      </c>
      <c r="L17" s="64"/>
      <c r="M17" s="64">
        <v>48912.58</v>
      </c>
      <c r="N17" s="64">
        <v>10292.17</v>
      </c>
      <c r="O17" s="64">
        <v>6559.04</v>
      </c>
      <c r="P17" s="64"/>
      <c r="Q17" s="66">
        <f t="shared" si="1"/>
        <v>5.9036021407989523</v>
      </c>
      <c r="R17" s="66">
        <f t="shared" si="2"/>
        <v>28.056319707117158</v>
      </c>
      <c r="S17" s="66">
        <f>H17/O17</f>
        <v>46.738606869297946</v>
      </c>
      <c r="U17" s="64"/>
    </row>
    <row r="18" spans="1:24" ht="15.5" x14ac:dyDescent="0.35">
      <c r="A18" s="43"/>
      <c r="B18" s="43"/>
      <c r="C18" s="4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</row>
    <row r="19" spans="1:24" ht="15.5" x14ac:dyDescent="0.35">
      <c r="A19" s="43"/>
      <c r="B19" s="43"/>
      <c r="C19" s="43"/>
      <c r="D19" s="93" t="s">
        <v>309</v>
      </c>
      <c r="E19" s="93"/>
      <c r="F19" s="93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8">
        <f>AVERAGE(Q8:Q17)</f>
        <v>6.3513367638415641</v>
      </c>
      <c r="R19" s="98">
        <f t="shared" ref="R19:S19" si="5">AVERAGE(R8:R17)</f>
        <v>27.895435074602471</v>
      </c>
      <c r="S19" s="98">
        <f t="shared" si="5"/>
        <v>45.060731440273287</v>
      </c>
      <c r="T19" s="63"/>
      <c r="U19" s="63"/>
    </row>
    <row r="20" spans="1:24" ht="15.5" x14ac:dyDescent="0.35">
      <c r="A20" s="43"/>
      <c r="B20" s="43"/>
      <c r="C20" s="43"/>
      <c r="D20" s="93" t="s">
        <v>310</v>
      </c>
      <c r="E20" s="93"/>
      <c r="F20" s="93"/>
      <c r="G20" s="93"/>
      <c r="H20" s="93"/>
      <c r="I20" s="94"/>
      <c r="J20" s="94"/>
      <c r="K20" s="94"/>
      <c r="L20" s="94"/>
      <c r="M20" s="94"/>
      <c r="N20" s="94"/>
      <c r="O20" s="94"/>
      <c r="P20" s="94"/>
      <c r="Q20" s="98">
        <f>MEDIAN(Q8:Q17)</f>
        <v>5.4035254120724217</v>
      </c>
      <c r="R20" s="98">
        <f t="shared" ref="R20:S20" si="6">MEDIAN(R8:R17)</f>
        <v>28.428479382715274</v>
      </c>
      <c r="S20" s="98">
        <f t="shared" si="6"/>
        <v>48.480190112887399</v>
      </c>
      <c r="T20" s="72"/>
      <c r="U20" s="72"/>
    </row>
    <row r="21" spans="1:24" ht="15.5" x14ac:dyDescent="0.35">
      <c r="A21" s="43"/>
      <c r="B21" s="43"/>
      <c r="C21" s="43"/>
      <c r="D21" s="63"/>
      <c r="E21" s="63"/>
      <c r="F21" s="63"/>
      <c r="G21" s="63"/>
      <c r="H21" s="63"/>
      <c r="I21" s="72"/>
      <c r="J21" s="72"/>
      <c r="K21" s="72"/>
      <c r="L21" s="72"/>
      <c r="M21" s="72"/>
      <c r="N21" s="70"/>
      <c r="O21" s="70"/>
      <c r="P21" s="70"/>
      <c r="Q21" s="70"/>
      <c r="R21" s="70"/>
      <c r="S21" s="70"/>
      <c r="T21" s="70"/>
      <c r="U21" s="70"/>
    </row>
    <row r="22" spans="1:24" ht="15.5" x14ac:dyDescent="0.35">
      <c r="D22" s="82" t="s">
        <v>279</v>
      </c>
      <c r="E22" s="83" t="s">
        <v>280</v>
      </c>
      <c r="F22" s="64">
        <v>5421.15</v>
      </c>
      <c r="G22" s="64">
        <v>119.57</v>
      </c>
      <c r="H22" s="64">
        <f>F22*G22</f>
        <v>648206.90549999988</v>
      </c>
      <c r="I22" s="64">
        <v>14367.84</v>
      </c>
      <c r="J22" s="64">
        <v>35943.4</v>
      </c>
      <c r="K22" s="64">
        <f t="shared" ref="K22" si="7">H22+I22-J22</f>
        <v>626631.34549999982</v>
      </c>
      <c r="L22" s="64"/>
      <c r="M22" s="64">
        <v>125802.83</v>
      </c>
      <c r="N22" s="64">
        <v>21840.240000000002</v>
      </c>
      <c r="O22" s="64">
        <v>15664.56</v>
      </c>
      <c r="P22" s="64"/>
      <c r="Q22" s="66">
        <f t="shared" ref="Q22" si="8">K22/M22</f>
        <v>4.9810592138507523</v>
      </c>
      <c r="R22" s="66">
        <f t="shared" ref="R22" si="9">K22/N22</f>
        <v>28.691596131727479</v>
      </c>
      <c r="S22" s="66">
        <f t="shared" ref="S22" si="10">H22/O22</f>
        <v>41.380473214696096</v>
      </c>
    </row>
    <row r="23" spans="1:24" ht="20.5" x14ac:dyDescent="0.4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68"/>
      <c r="M23" s="68"/>
      <c r="N23" s="68"/>
      <c r="O23" s="68"/>
      <c r="P23" s="68"/>
      <c r="Q23" s="68"/>
      <c r="R23" s="68"/>
      <c r="S23" s="68"/>
      <c r="T23" s="68"/>
      <c r="U23" s="68"/>
    </row>
    <row r="24" spans="1:24" s="39" customFormat="1" ht="18.5" outlineLevel="1" x14ac:dyDescent="0.45">
      <c r="A24" s="13"/>
      <c r="B24" s="16"/>
      <c r="C24" s="13"/>
      <c r="D24" s="102" t="s">
        <v>311</v>
      </c>
      <c r="E24" s="100" t="s">
        <v>313</v>
      </c>
      <c r="F24" s="104" t="s">
        <v>300</v>
      </c>
      <c r="G24" s="104" t="s">
        <v>314</v>
      </c>
      <c r="H24" s="104" t="s">
        <v>315</v>
      </c>
      <c r="I24" s="104" t="s">
        <v>316</v>
      </c>
      <c r="J24" s="100" t="s">
        <v>317</v>
      </c>
      <c r="K24" s="99"/>
      <c r="L24" s="13"/>
      <c r="M24" s="13"/>
    </row>
    <row r="25" spans="1:24" s="39" customFormat="1" ht="18.5" outlineLevel="1" x14ac:dyDescent="0.45">
      <c r="A25" s="13"/>
      <c r="B25" s="13"/>
      <c r="C25" s="13"/>
      <c r="D25" s="13" t="s">
        <v>312</v>
      </c>
      <c r="E25" s="103">
        <f>Q19</f>
        <v>6.3513367638415641</v>
      </c>
      <c r="F25" s="64">
        <f>E25*M22</f>
        <v>799016.13917431049</v>
      </c>
      <c r="G25" s="64">
        <f>J22-I22</f>
        <v>21575.56</v>
      </c>
      <c r="H25" s="64">
        <f>F25-G25</f>
        <v>777440.57917431043</v>
      </c>
      <c r="I25" s="64">
        <f>$G$22</f>
        <v>119.57</v>
      </c>
      <c r="J25" s="64">
        <f>H25/I25</f>
        <v>6501.9702197399893</v>
      </c>
      <c r="K25" s="64"/>
      <c r="L25" s="43"/>
      <c r="M25" s="43"/>
      <c r="N25" s="40"/>
      <c r="O25" s="40"/>
      <c r="P25" s="40"/>
      <c r="Q25" s="40"/>
      <c r="R25" s="40"/>
      <c r="S25" s="40"/>
      <c r="T25" s="40"/>
      <c r="U25" s="40"/>
    </row>
    <row r="26" spans="1:24" s="39" customFormat="1" ht="18.5" outlineLevel="1" x14ac:dyDescent="0.45">
      <c r="A26" s="13"/>
      <c r="B26" s="13"/>
      <c r="C26" s="13"/>
      <c r="D26" s="13" t="s">
        <v>306</v>
      </c>
      <c r="E26" s="103">
        <f>R19</f>
        <v>27.895435074602471</v>
      </c>
      <c r="F26" s="64">
        <f>E26*N22</f>
        <v>609242.99693373591</v>
      </c>
      <c r="G26" s="64">
        <f>G25</f>
        <v>21575.56</v>
      </c>
      <c r="H26" s="64">
        <f>F26-G26</f>
        <v>587667.43693373585</v>
      </c>
      <c r="I26" s="64">
        <f t="shared" ref="I26:I27" si="11">$G$22</f>
        <v>119.57</v>
      </c>
      <c r="J26" s="64">
        <f t="shared" ref="J26:J27" si="12">H26/I26</f>
        <v>4914.840151657907</v>
      </c>
      <c r="K26" s="64"/>
      <c r="L26" s="43"/>
      <c r="M26" s="43"/>
      <c r="N26" s="40"/>
      <c r="O26" s="40"/>
      <c r="P26" s="40"/>
      <c r="Q26" s="40"/>
      <c r="R26" s="40"/>
      <c r="S26" s="40"/>
      <c r="T26" s="40"/>
      <c r="U26" s="40"/>
    </row>
    <row r="27" spans="1:24" s="39" customFormat="1" ht="18.5" outlineLevel="1" x14ac:dyDescent="0.45">
      <c r="A27" s="13"/>
      <c r="B27" s="13"/>
      <c r="C27" s="13"/>
      <c r="D27" s="13" t="s">
        <v>307</v>
      </c>
      <c r="E27" s="103">
        <f>S19</f>
        <v>45.060731440273287</v>
      </c>
      <c r="F27" s="64">
        <f>H27+G27</f>
        <v>727432.09129004739</v>
      </c>
      <c r="G27" s="64">
        <f>G26</f>
        <v>21575.56</v>
      </c>
      <c r="H27" s="64">
        <f>E27*O22</f>
        <v>705856.53129004734</v>
      </c>
      <c r="I27" s="64">
        <f t="shared" si="11"/>
        <v>119.57</v>
      </c>
      <c r="J27" s="64">
        <f t="shared" si="12"/>
        <v>5903.2912209588303</v>
      </c>
      <c r="K27" s="64"/>
      <c r="L27" s="101"/>
      <c r="M27" s="101"/>
      <c r="N27" s="40"/>
      <c r="O27" s="40"/>
      <c r="P27" s="40"/>
      <c r="Q27" s="40"/>
      <c r="R27" s="40"/>
      <c r="S27" s="40"/>
      <c r="T27" s="40"/>
      <c r="U27" s="40"/>
    </row>
    <row r="28" spans="1:24" s="39" customFormat="1" ht="18.5" outlineLevel="1" x14ac:dyDescent="0.45">
      <c r="A28" s="13"/>
      <c r="B28" s="16"/>
      <c r="C28" s="13"/>
      <c r="D28" s="13"/>
      <c r="E28" s="13"/>
      <c r="F28" s="42"/>
      <c r="G28" s="13"/>
      <c r="H28" s="13"/>
      <c r="I28" s="43"/>
      <c r="J28" s="43"/>
      <c r="K28" s="43"/>
      <c r="L28" s="43"/>
      <c r="M28" s="43"/>
      <c r="N28" s="40"/>
      <c r="O28" s="40"/>
      <c r="P28" s="40"/>
      <c r="Q28" s="40"/>
      <c r="R28" s="40"/>
      <c r="S28" s="40"/>
      <c r="T28" s="40"/>
      <c r="U28" s="40"/>
    </row>
    <row r="29" spans="1:24" s="39" customFormat="1" ht="18.5" outlineLevel="1" x14ac:dyDescent="0.45">
      <c r="A29" s="13"/>
      <c r="B29" s="13"/>
      <c r="C29" s="13"/>
      <c r="D29" s="13"/>
      <c r="E29" s="13"/>
      <c r="F29" s="42"/>
      <c r="G29" s="13"/>
      <c r="H29" s="13"/>
      <c r="I29" s="43"/>
      <c r="J29" s="43"/>
      <c r="K29" s="43"/>
      <c r="L29" s="43"/>
      <c r="M29" s="43"/>
      <c r="N29" s="40"/>
      <c r="O29" s="40"/>
      <c r="P29" s="40"/>
      <c r="Q29" s="40"/>
      <c r="R29" s="40"/>
      <c r="S29" s="40"/>
      <c r="T29" s="40"/>
      <c r="U29" s="40"/>
    </row>
    <row r="30" spans="1:24" s="39" customFormat="1" ht="18.5" outlineLevel="1" x14ac:dyDescent="0.45">
      <c r="A30" s="13"/>
      <c r="B30" s="13"/>
      <c r="C30" s="13"/>
      <c r="D30" s="13"/>
      <c r="E30" s="13"/>
      <c r="F30" s="42"/>
      <c r="G30" s="13"/>
      <c r="H30" s="13"/>
      <c r="I30" s="43"/>
      <c r="J30" s="43"/>
      <c r="K30" s="43"/>
      <c r="L30" s="43"/>
      <c r="M30" s="43"/>
      <c r="N30" s="40"/>
      <c r="O30" s="40"/>
      <c r="P30" s="40"/>
      <c r="Q30" s="40"/>
      <c r="R30" s="40"/>
      <c r="S30" s="40"/>
      <c r="T30" s="40"/>
      <c r="U30" s="40"/>
    </row>
    <row r="31" spans="1:24" s="39" customFormat="1" ht="18.5" outlineLevel="1" x14ac:dyDescent="0.45">
      <c r="A31" s="13"/>
      <c r="B31" s="130"/>
      <c r="C31" s="130"/>
      <c r="D31" s="135"/>
      <c r="E31" s="135"/>
      <c r="F31" s="136"/>
      <c r="G31" s="135"/>
      <c r="H31" s="135"/>
      <c r="I31" s="137"/>
      <c r="J31" s="137"/>
      <c r="K31" s="137"/>
      <c r="L31" s="137"/>
      <c r="M31" s="137"/>
      <c r="N31" s="133"/>
      <c r="O31" s="133"/>
      <c r="P31" s="133"/>
      <c r="Q31" s="133"/>
      <c r="R31" s="133"/>
      <c r="S31" s="133"/>
      <c r="T31" s="133"/>
      <c r="U31" s="133"/>
      <c r="V31" s="134"/>
      <c r="W31" s="134"/>
      <c r="X31" s="134"/>
    </row>
    <row r="32" spans="1:24" s="39" customFormat="1" ht="18.5" outlineLevel="1" x14ac:dyDescent="0.45">
      <c r="A32" s="13"/>
      <c r="B32" s="130"/>
      <c r="C32" s="130"/>
      <c r="D32" s="130"/>
      <c r="E32" s="130"/>
      <c r="F32" s="131"/>
      <c r="G32" s="130"/>
      <c r="H32" s="130"/>
      <c r="I32" s="132"/>
      <c r="J32" s="132"/>
      <c r="K32" s="132"/>
      <c r="L32" s="132"/>
      <c r="M32" s="132"/>
      <c r="N32" s="133"/>
      <c r="O32" s="133"/>
      <c r="P32" s="133"/>
      <c r="Q32" s="133"/>
      <c r="R32" s="133"/>
      <c r="S32" s="133"/>
      <c r="T32" s="133"/>
      <c r="U32" s="133"/>
      <c r="V32" s="134"/>
      <c r="W32" s="134"/>
      <c r="X32" s="134"/>
    </row>
    <row r="33" spans="1:24" s="39" customFormat="1" ht="18.5" outlineLevel="1" x14ac:dyDescent="0.45">
      <c r="A33" s="13"/>
      <c r="B33" s="130"/>
      <c r="C33" s="130"/>
      <c r="D33" s="135"/>
      <c r="E33" s="135"/>
      <c r="F33" s="136"/>
      <c r="G33" s="135"/>
      <c r="H33" s="135"/>
      <c r="I33" s="137"/>
      <c r="J33" s="137"/>
      <c r="K33" s="137"/>
      <c r="L33" s="137"/>
      <c r="M33" s="137"/>
      <c r="N33" s="133"/>
      <c r="O33" s="133"/>
      <c r="P33" s="133"/>
      <c r="Q33" s="133"/>
      <c r="R33" s="133"/>
      <c r="S33" s="133"/>
      <c r="T33" s="133"/>
      <c r="U33" s="133"/>
      <c r="V33" s="134"/>
      <c r="W33" s="134"/>
      <c r="X33" s="134"/>
    </row>
    <row r="34" spans="1:24" s="39" customFormat="1" ht="18.5" outlineLevel="1" x14ac:dyDescent="0.45">
      <c r="A34" s="13"/>
      <c r="B34" s="130"/>
      <c r="C34" s="130"/>
      <c r="D34" s="130"/>
      <c r="E34" s="130"/>
      <c r="F34" s="131"/>
      <c r="G34" s="130"/>
      <c r="H34" s="130"/>
      <c r="I34" s="132"/>
      <c r="J34" s="132"/>
      <c r="K34" s="132"/>
      <c r="L34" s="132"/>
      <c r="M34" s="132"/>
      <c r="N34" s="133"/>
      <c r="O34" s="133"/>
      <c r="P34" s="133"/>
      <c r="Q34" s="133"/>
      <c r="R34" s="133"/>
      <c r="S34" s="133"/>
      <c r="T34" s="133"/>
      <c r="U34" s="133"/>
      <c r="V34" s="134"/>
      <c r="W34" s="134"/>
      <c r="X34" s="134"/>
    </row>
    <row r="35" spans="1:24" s="39" customFormat="1" ht="18.5" outlineLevel="1" x14ac:dyDescent="0.45">
      <c r="A35" s="13"/>
      <c r="B35" s="130"/>
      <c r="C35" s="130"/>
      <c r="D35" s="130"/>
      <c r="E35" s="130"/>
      <c r="F35" s="131"/>
      <c r="G35" s="130"/>
      <c r="H35" s="130"/>
      <c r="I35" s="132"/>
      <c r="J35" s="132"/>
      <c r="K35" s="132"/>
      <c r="L35" s="132"/>
      <c r="M35" s="132"/>
      <c r="N35" s="133"/>
      <c r="O35" s="133"/>
      <c r="P35" s="133"/>
      <c r="Q35" s="133"/>
      <c r="R35" s="133"/>
      <c r="S35" s="133"/>
      <c r="T35" s="133"/>
      <c r="U35" s="133"/>
      <c r="V35" s="134"/>
      <c r="W35" s="134"/>
      <c r="X35" s="134"/>
    </row>
    <row r="36" spans="1:24" s="39" customFormat="1" ht="18.5" outlineLevel="1" x14ac:dyDescent="0.45">
      <c r="A36" s="13"/>
      <c r="B36" s="130"/>
      <c r="C36" s="130"/>
      <c r="D36" s="135"/>
      <c r="E36" s="135"/>
      <c r="F36" s="136"/>
      <c r="G36" s="135"/>
      <c r="H36" s="135"/>
      <c r="I36" s="137"/>
      <c r="J36" s="137"/>
      <c r="K36" s="137"/>
      <c r="L36" s="137"/>
      <c r="M36" s="137"/>
      <c r="N36" s="133"/>
      <c r="O36" s="133"/>
      <c r="P36" s="133"/>
      <c r="Q36" s="133"/>
      <c r="R36" s="133"/>
      <c r="S36" s="133"/>
      <c r="T36" s="133"/>
      <c r="U36" s="133"/>
      <c r="V36" s="134"/>
      <c r="W36" s="134"/>
      <c r="X36" s="134"/>
    </row>
    <row r="37" spans="1:24" s="39" customFormat="1" ht="18.5" outlineLevel="1" x14ac:dyDescent="0.45">
      <c r="A37" s="13"/>
      <c r="B37" s="130"/>
      <c r="C37" s="130"/>
      <c r="D37" s="130"/>
      <c r="E37" s="130"/>
      <c r="F37" s="131"/>
      <c r="G37" s="130"/>
      <c r="H37" s="130"/>
      <c r="I37" s="132"/>
      <c r="J37" s="132"/>
      <c r="K37" s="132"/>
      <c r="L37" s="132"/>
      <c r="M37" s="132"/>
      <c r="N37" s="133"/>
      <c r="O37" s="133"/>
      <c r="P37" s="133"/>
      <c r="Q37" s="133"/>
      <c r="R37" s="133"/>
      <c r="S37" s="133"/>
      <c r="T37" s="133"/>
      <c r="U37" s="133"/>
      <c r="V37" s="134"/>
      <c r="W37" s="134"/>
      <c r="X37" s="134"/>
    </row>
    <row r="38" spans="1:24" s="39" customFormat="1" ht="18.5" outlineLevel="1" x14ac:dyDescent="0.45">
      <c r="A38" s="13"/>
      <c r="B38" s="130"/>
      <c r="C38" s="130"/>
      <c r="D38" s="135"/>
      <c r="E38" s="135"/>
      <c r="F38" s="136"/>
      <c r="G38" s="135"/>
      <c r="H38" s="135"/>
      <c r="I38" s="137"/>
      <c r="J38" s="137"/>
      <c r="K38" s="137"/>
      <c r="L38" s="137"/>
      <c r="M38" s="137"/>
      <c r="N38" s="133"/>
      <c r="O38" s="133"/>
      <c r="P38" s="133"/>
      <c r="Q38" s="133"/>
      <c r="R38" s="133"/>
      <c r="S38" s="133"/>
      <c r="T38" s="133"/>
      <c r="U38" s="133"/>
      <c r="V38" s="134"/>
      <c r="W38" s="134"/>
      <c r="X38" s="134"/>
    </row>
    <row r="39" spans="1:24" s="39" customFormat="1" ht="18.5" outlineLevel="1" x14ac:dyDescent="0.45">
      <c r="B39" s="134"/>
      <c r="C39" s="134"/>
      <c r="D39" s="134"/>
      <c r="E39" s="134"/>
      <c r="F39" s="134"/>
      <c r="G39" s="134"/>
      <c r="H39" s="134"/>
      <c r="I39" s="138"/>
      <c r="J39" s="138"/>
      <c r="K39" s="138"/>
      <c r="L39" s="138"/>
      <c r="M39" s="138"/>
      <c r="N39" s="133"/>
      <c r="O39" s="133"/>
      <c r="P39" s="133"/>
      <c r="Q39" s="133"/>
      <c r="R39" s="133"/>
      <c r="S39" s="133"/>
      <c r="T39" s="133"/>
      <c r="U39" s="133"/>
      <c r="V39" s="134"/>
      <c r="W39" s="134"/>
      <c r="X39" s="134"/>
    </row>
    <row r="40" spans="1:24" s="39" customFormat="1" ht="18.5" x14ac:dyDescent="0.45">
      <c r="B40" s="134"/>
      <c r="C40" s="134"/>
      <c r="D40" s="134"/>
      <c r="E40" s="134"/>
      <c r="F40" s="134"/>
      <c r="G40" s="134"/>
      <c r="H40" s="134"/>
      <c r="I40" s="138"/>
      <c r="J40" s="138"/>
      <c r="K40" s="138"/>
      <c r="L40" s="138"/>
      <c r="M40" s="138"/>
      <c r="N40" s="133"/>
      <c r="O40" s="133"/>
      <c r="P40" s="133"/>
      <c r="Q40" s="133"/>
      <c r="R40" s="133"/>
      <c r="S40" s="133"/>
      <c r="T40" s="133"/>
      <c r="U40" s="133"/>
      <c r="V40" s="134"/>
      <c r="W40" s="134"/>
      <c r="X40" s="134"/>
    </row>
    <row r="41" spans="1:24" s="39" customFormat="1" ht="20.5" x14ac:dyDescent="0.45">
      <c r="A41" s="38"/>
      <c r="B41" s="57"/>
      <c r="C41" s="57"/>
      <c r="D41" s="57"/>
      <c r="E41" s="57"/>
      <c r="F41" s="57"/>
      <c r="G41" s="57"/>
      <c r="H41" s="57"/>
      <c r="I41" s="57"/>
      <c r="J41" s="57"/>
      <c r="K41" s="57"/>
      <c r="L41" s="57"/>
      <c r="M41" s="57"/>
      <c r="N41" s="57"/>
      <c r="O41" s="57"/>
      <c r="P41" s="57"/>
      <c r="Q41" s="57"/>
      <c r="R41" s="57"/>
      <c r="S41" s="57"/>
      <c r="T41" s="57"/>
      <c r="U41" s="57"/>
      <c r="V41" s="134"/>
      <c r="W41" s="134"/>
      <c r="X41" s="134"/>
    </row>
    <row r="42" spans="1:24" s="39" customFormat="1" ht="18.5" x14ac:dyDescent="0.45">
      <c r="B42" s="134"/>
      <c r="C42" s="134"/>
      <c r="D42" s="134"/>
      <c r="E42" s="134"/>
      <c r="F42" s="134"/>
      <c r="G42" s="134"/>
      <c r="H42" s="134"/>
      <c r="I42" s="138"/>
      <c r="J42" s="138"/>
      <c r="K42" s="138"/>
      <c r="L42" s="138"/>
      <c r="M42" s="138"/>
      <c r="N42" s="133"/>
      <c r="O42" s="133"/>
      <c r="P42" s="133"/>
      <c r="Q42" s="133"/>
      <c r="R42" s="133"/>
      <c r="S42" s="133"/>
      <c r="T42" s="133"/>
      <c r="U42" s="133"/>
      <c r="V42" s="134"/>
      <c r="W42" s="134"/>
      <c r="X42" s="134"/>
    </row>
    <row r="43" spans="1:24" s="39" customFormat="1" ht="18.5" outlineLevel="1" x14ac:dyDescent="0.45">
      <c r="A43" s="13"/>
      <c r="B43" s="135"/>
      <c r="C43" s="130"/>
      <c r="D43" s="130"/>
      <c r="E43" s="130"/>
      <c r="F43" s="131"/>
      <c r="G43" s="130"/>
      <c r="H43" s="130"/>
      <c r="I43" s="132"/>
      <c r="J43" s="132"/>
      <c r="K43" s="132"/>
      <c r="L43" s="132"/>
      <c r="M43" s="132"/>
      <c r="N43" s="133"/>
      <c r="O43" s="133"/>
      <c r="P43" s="133"/>
      <c r="Q43" s="133"/>
      <c r="R43" s="133"/>
      <c r="S43" s="133"/>
      <c r="T43" s="133"/>
      <c r="U43" s="133"/>
      <c r="V43" s="134"/>
      <c r="W43" s="134"/>
      <c r="X43" s="134"/>
    </row>
    <row r="44" spans="1:24" s="39" customFormat="1" ht="18.5" outlineLevel="1" x14ac:dyDescent="0.45">
      <c r="A44" s="13"/>
      <c r="B44" s="130"/>
      <c r="C44" s="135"/>
      <c r="D44" s="130"/>
      <c r="E44" s="130"/>
      <c r="F44" s="130"/>
      <c r="G44" s="130"/>
      <c r="H44" s="130"/>
      <c r="I44" s="132"/>
      <c r="J44" s="132"/>
      <c r="K44" s="132"/>
      <c r="L44" s="132"/>
      <c r="M44" s="132"/>
      <c r="N44" s="133"/>
      <c r="O44" s="133"/>
      <c r="P44" s="133"/>
      <c r="Q44" s="133"/>
      <c r="R44" s="133"/>
      <c r="S44" s="133"/>
      <c r="T44" s="133"/>
      <c r="U44" s="133"/>
      <c r="V44" s="134"/>
      <c r="W44" s="134"/>
      <c r="X44" s="134"/>
    </row>
    <row r="45" spans="1:24" s="39" customFormat="1" ht="18.5" outlineLevel="1" x14ac:dyDescent="0.45">
      <c r="A45" s="13"/>
      <c r="B45" s="130"/>
      <c r="C45" s="130"/>
      <c r="D45" s="130"/>
      <c r="E45" s="130"/>
      <c r="F45" s="131"/>
      <c r="G45" s="130"/>
      <c r="H45" s="130"/>
      <c r="I45" s="132"/>
      <c r="J45" s="132"/>
      <c r="K45" s="132"/>
      <c r="L45" s="132"/>
      <c r="M45" s="132"/>
      <c r="N45" s="133"/>
      <c r="O45" s="133"/>
      <c r="P45" s="133"/>
      <c r="Q45" s="133"/>
      <c r="R45" s="133"/>
      <c r="S45" s="133"/>
      <c r="T45" s="133"/>
      <c r="U45" s="133"/>
      <c r="V45" s="134"/>
      <c r="W45" s="134"/>
      <c r="X45" s="134"/>
    </row>
    <row r="46" spans="1:24" s="39" customFormat="1" ht="18.5" outlineLevel="1" x14ac:dyDescent="0.45">
      <c r="A46" s="13"/>
      <c r="B46" s="130"/>
      <c r="C46" s="130"/>
      <c r="D46" s="130"/>
      <c r="E46" s="130"/>
      <c r="F46" s="131"/>
      <c r="G46" s="130"/>
      <c r="H46" s="130"/>
      <c r="I46" s="132"/>
      <c r="J46" s="132"/>
      <c r="K46" s="132"/>
      <c r="L46" s="132"/>
      <c r="M46" s="132"/>
      <c r="N46" s="133"/>
      <c r="O46" s="133"/>
      <c r="P46" s="133"/>
      <c r="Q46" s="133"/>
      <c r="R46" s="133"/>
      <c r="S46" s="133"/>
      <c r="T46" s="133"/>
      <c r="U46" s="133"/>
      <c r="V46" s="134"/>
      <c r="W46" s="134"/>
      <c r="X46" s="134"/>
    </row>
    <row r="47" spans="1:24" s="39" customFormat="1" ht="18.5" outlineLevel="1" x14ac:dyDescent="0.45">
      <c r="A47" s="13"/>
      <c r="B47" s="130"/>
      <c r="C47" s="130"/>
      <c r="D47" s="130"/>
      <c r="E47" s="130"/>
      <c r="F47" s="131"/>
      <c r="G47" s="130"/>
      <c r="H47" s="130"/>
      <c r="I47" s="132"/>
      <c r="J47" s="132"/>
      <c r="K47" s="132"/>
      <c r="L47" s="132"/>
      <c r="M47" s="132"/>
      <c r="N47" s="133"/>
      <c r="O47" s="133"/>
      <c r="P47" s="133"/>
      <c r="Q47" s="133"/>
      <c r="R47" s="133"/>
      <c r="S47" s="133"/>
      <c r="T47" s="133"/>
      <c r="U47" s="133"/>
      <c r="V47" s="134"/>
      <c r="W47" s="134"/>
      <c r="X47" s="134"/>
    </row>
    <row r="48" spans="1:24" s="39" customFormat="1" ht="18.5" outlineLevel="1" x14ac:dyDescent="0.45">
      <c r="A48" s="13"/>
      <c r="B48" s="130"/>
      <c r="C48" s="130"/>
      <c r="D48" s="130"/>
      <c r="E48" s="130"/>
      <c r="F48" s="131"/>
      <c r="G48" s="130"/>
      <c r="H48" s="130"/>
      <c r="I48" s="132"/>
      <c r="J48" s="132"/>
      <c r="K48" s="132"/>
      <c r="L48" s="132"/>
      <c r="M48" s="132"/>
      <c r="N48" s="133"/>
      <c r="O48" s="133"/>
      <c r="P48" s="133"/>
      <c r="Q48" s="133"/>
      <c r="R48" s="133"/>
      <c r="S48" s="133"/>
      <c r="T48" s="133"/>
      <c r="U48" s="133"/>
      <c r="V48" s="134"/>
      <c r="W48" s="134"/>
      <c r="X48" s="134"/>
    </row>
    <row r="49" spans="1:24" s="39" customFormat="1" ht="18.5" outlineLevel="1" x14ac:dyDescent="0.45">
      <c r="A49" s="13"/>
      <c r="B49" s="130"/>
      <c r="C49" s="130"/>
      <c r="D49" s="130"/>
      <c r="E49" s="130"/>
      <c r="F49" s="131"/>
      <c r="G49" s="130"/>
      <c r="H49" s="130"/>
      <c r="I49" s="132"/>
      <c r="J49" s="132"/>
      <c r="K49" s="132"/>
      <c r="L49" s="132"/>
      <c r="M49" s="132"/>
      <c r="N49" s="133"/>
      <c r="O49" s="133"/>
      <c r="P49" s="133"/>
      <c r="Q49" s="133"/>
      <c r="R49" s="133"/>
      <c r="S49" s="133"/>
      <c r="T49" s="133"/>
      <c r="U49" s="133"/>
      <c r="V49" s="134"/>
      <c r="W49" s="134"/>
      <c r="X49" s="134"/>
    </row>
    <row r="50" spans="1:24" s="39" customFormat="1" ht="18.5" outlineLevel="1" x14ac:dyDescent="0.45">
      <c r="A50" s="13"/>
      <c r="B50" s="130"/>
      <c r="C50" s="130"/>
      <c r="D50" s="130"/>
      <c r="E50" s="130"/>
      <c r="F50" s="131"/>
      <c r="G50" s="130"/>
      <c r="H50" s="130"/>
      <c r="I50" s="132"/>
      <c r="J50" s="132"/>
      <c r="K50" s="132"/>
      <c r="L50" s="132"/>
      <c r="M50" s="132"/>
      <c r="N50" s="133"/>
      <c r="O50" s="133"/>
      <c r="P50" s="133"/>
      <c r="Q50" s="133"/>
      <c r="R50" s="133"/>
      <c r="S50" s="133"/>
      <c r="T50" s="133"/>
      <c r="U50" s="133"/>
      <c r="V50" s="134"/>
      <c r="W50" s="134"/>
      <c r="X50" s="134"/>
    </row>
    <row r="51" spans="1:24" s="39" customFormat="1" ht="18.5" outlineLevel="1" x14ac:dyDescent="0.45">
      <c r="A51" s="13"/>
      <c r="B51" s="130"/>
      <c r="C51" s="135"/>
      <c r="D51" s="130"/>
      <c r="E51" s="130"/>
      <c r="F51" s="131"/>
      <c r="G51" s="130"/>
      <c r="H51" s="130"/>
      <c r="I51" s="132"/>
      <c r="J51" s="132"/>
      <c r="K51" s="132"/>
      <c r="L51" s="132"/>
      <c r="M51" s="132"/>
      <c r="N51" s="133"/>
      <c r="O51" s="133"/>
      <c r="P51" s="133"/>
      <c r="Q51" s="133"/>
      <c r="R51" s="133"/>
      <c r="S51" s="133"/>
      <c r="T51" s="133"/>
      <c r="U51" s="133"/>
      <c r="V51" s="134"/>
      <c r="W51" s="134"/>
      <c r="X51" s="134"/>
    </row>
    <row r="52" spans="1:24" s="39" customFormat="1" ht="18.5" outlineLevel="1" x14ac:dyDescent="0.45">
      <c r="A52" s="13"/>
      <c r="B52" s="130"/>
      <c r="C52" s="130"/>
      <c r="D52" s="130"/>
      <c r="E52" s="130"/>
      <c r="F52" s="131"/>
      <c r="G52" s="130"/>
      <c r="H52" s="130"/>
      <c r="I52" s="132"/>
      <c r="J52" s="132"/>
      <c r="K52" s="132"/>
      <c r="L52" s="132"/>
      <c r="M52" s="132"/>
      <c r="N52" s="133"/>
      <c r="O52" s="133"/>
      <c r="P52" s="133"/>
      <c r="Q52" s="133"/>
      <c r="R52" s="133"/>
      <c r="S52" s="133"/>
      <c r="T52" s="133"/>
      <c r="U52" s="133"/>
      <c r="V52" s="134"/>
      <c r="W52" s="134"/>
      <c r="X52" s="134"/>
    </row>
    <row r="53" spans="1:24" s="39" customFormat="1" ht="18.5" outlineLevel="1" x14ac:dyDescent="0.45">
      <c r="A53" s="13"/>
      <c r="B53" s="130"/>
      <c r="C53" s="130"/>
      <c r="D53" s="130"/>
      <c r="E53" s="130"/>
      <c r="F53" s="131"/>
      <c r="G53" s="130"/>
      <c r="H53" s="130"/>
      <c r="I53" s="132"/>
      <c r="J53" s="132"/>
      <c r="K53" s="132"/>
      <c r="L53" s="132"/>
      <c r="M53" s="132"/>
      <c r="N53" s="133"/>
      <c r="O53" s="133"/>
      <c r="P53" s="133"/>
      <c r="Q53" s="133"/>
      <c r="R53" s="133"/>
      <c r="S53" s="133"/>
      <c r="T53" s="133"/>
      <c r="U53" s="133"/>
      <c r="V53" s="134"/>
      <c r="W53" s="134"/>
      <c r="X53" s="134"/>
    </row>
    <row r="54" spans="1:24" s="39" customFormat="1" ht="18.5" outlineLevel="1" x14ac:dyDescent="0.45">
      <c r="A54" s="13"/>
      <c r="B54" s="130"/>
      <c r="C54" s="130"/>
      <c r="D54" s="130"/>
      <c r="E54" s="130"/>
      <c r="F54" s="131"/>
      <c r="G54" s="130"/>
      <c r="H54" s="130"/>
      <c r="I54" s="132"/>
      <c r="J54" s="132"/>
      <c r="K54" s="132"/>
      <c r="L54" s="132"/>
      <c r="M54" s="132"/>
      <c r="N54" s="133"/>
      <c r="O54" s="133"/>
      <c r="P54" s="133"/>
      <c r="Q54" s="133"/>
      <c r="R54" s="133"/>
      <c r="S54" s="133"/>
      <c r="T54" s="133"/>
      <c r="U54" s="133"/>
      <c r="V54" s="134"/>
      <c r="W54" s="134"/>
      <c r="X54" s="134"/>
    </row>
    <row r="55" spans="1:24" s="39" customFormat="1" ht="18.5" outlineLevel="1" x14ac:dyDescent="0.45">
      <c r="A55" s="13"/>
      <c r="B55" s="130"/>
      <c r="C55" s="130"/>
      <c r="D55" s="130"/>
      <c r="E55" s="130"/>
      <c r="F55" s="131"/>
      <c r="G55" s="130"/>
      <c r="H55" s="130"/>
      <c r="I55" s="132"/>
      <c r="J55" s="132"/>
      <c r="K55" s="132"/>
      <c r="L55" s="132"/>
      <c r="M55" s="132"/>
      <c r="N55" s="133"/>
      <c r="O55" s="133"/>
      <c r="P55" s="133"/>
      <c r="Q55" s="133"/>
      <c r="R55" s="133"/>
      <c r="S55" s="133"/>
      <c r="T55" s="133"/>
      <c r="U55" s="133"/>
      <c r="V55" s="134"/>
      <c r="W55" s="134"/>
      <c r="X55" s="134"/>
    </row>
    <row r="56" spans="1:24" s="39" customFormat="1" ht="18.5" outlineLevel="1" x14ac:dyDescent="0.45">
      <c r="A56" s="13"/>
      <c r="B56" s="130"/>
      <c r="C56" s="130"/>
      <c r="D56" s="135"/>
      <c r="E56" s="135"/>
      <c r="F56" s="136"/>
      <c r="G56" s="135"/>
      <c r="H56" s="135"/>
      <c r="I56" s="137"/>
      <c r="J56" s="137"/>
      <c r="K56" s="137"/>
      <c r="L56" s="137"/>
      <c r="M56" s="137"/>
      <c r="N56" s="133"/>
      <c r="O56" s="133"/>
      <c r="P56" s="133"/>
      <c r="Q56" s="133"/>
      <c r="R56" s="133"/>
      <c r="S56" s="133"/>
      <c r="T56" s="133"/>
      <c r="U56" s="133"/>
      <c r="V56" s="134"/>
      <c r="W56" s="134"/>
      <c r="X56" s="134"/>
    </row>
    <row r="57" spans="1:24" s="39" customFormat="1" ht="18.5" outlineLevel="1" x14ac:dyDescent="0.45">
      <c r="A57" s="13"/>
      <c r="B57" s="130"/>
      <c r="C57" s="130"/>
      <c r="D57" s="130"/>
      <c r="E57" s="130"/>
      <c r="F57" s="134"/>
      <c r="G57" s="130"/>
      <c r="H57" s="130"/>
      <c r="I57" s="139"/>
      <c r="J57" s="139"/>
      <c r="K57" s="139"/>
      <c r="L57" s="139"/>
      <c r="M57" s="139"/>
      <c r="N57" s="133"/>
      <c r="O57" s="133"/>
      <c r="P57" s="133"/>
      <c r="Q57" s="133"/>
      <c r="R57" s="133"/>
      <c r="S57" s="133"/>
      <c r="T57" s="133"/>
      <c r="U57" s="133"/>
      <c r="V57" s="134"/>
      <c r="W57" s="134"/>
      <c r="X57" s="134"/>
    </row>
    <row r="58" spans="1:24" s="39" customFormat="1" ht="18.5" outlineLevel="1" x14ac:dyDescent="0.45">
      <c r="A58" s="13"/>
      <c r="B58" s="135"/>
      <c r="C58" s="130"/>
      <c r="D58" s="130"/>
      <c r="E58" s="130"/>
      <c r="F58" s="130"/>
      <c r="G58" s="130"/>
      <c r="H58" s="130"/>
      <c r="I58" s="139"/>
      <c r="J58" s="139"/>
      <c r="K58" s="139"/>
      <c r="L58" s="139"/>
      <c r="M58" s="139"/>
      <c r="N58" s="133"/>
      <c r="O58" s="133"/>
      <c r="P58" s="133"/>
      <c r="Q58" s="133"/>
      <c r="R58" s="133"/>
      <c r="S58" s="133"/>
      <c r="T58" s="133"/>
      <c r="U58" s="133"/>
      <c r="V58" s="134"/>
      <c r="W58" s="134"/>
      <c r="X58" s="134"/>
    </row>
    <row r="59" spans="1:24" s="39" customFormat="1" ht="18.5" outlineLevel="1" x14ac:dyDescent="0.45">
      <c r="A59" s="13"/>
      <c r="B59" s="130"/>
      <c r="C59" s="135"/>
      <c r="D59" s="130"/>
      <c r="E59" s="130"/>
      <c r="F59" s="130"/>
      <c r="G59" s="130"/>
      <c r="H59" s="130"/>
      <c r="I59" s="139"/>
      <c r="J59" s="139"/>
      <c r="K59" s="139"/>
      <c r="L59" s="139"/>
      <c r="M59" s="139"/>
      <c r="N59" s="133"/>
      <c r="O59" s="133"/>
      <c r="P59" s="133"/>
      <c r="Q59" s="133"/>
      <c r="R59" s="133"/>
      <c r="S59" s="133"/>
      <c r="T59" s="133"/>
      <c r="U59" s="133"/>
      <c r="V59" s="134"/>
      <c r="W59" s="134"/>
      <c r="X59" s="134"/>
    </row>
    <row r="60" spans="1:24" s="39" customFormat="1" ht="18.5" outlineLevel="1" x14ac:dyDescent="0.45">
      <c r="A60" s="13"/>
      <c r="B60" s="130"/>
      <c r="C60" s="130"/>
      <c r="D60" s="130"/>
      <c r="E60" s="130"/>
      <c r="F60" s="131"/>
      <c r="G60" s="130"/>
      <c r="H60" s="130"/>
      <c r="I60" s="132"/>
      <c r="J60" s="132"/>
      <c r="K60" s="132"/>
      <c r="L60" s="132"/>
      <c r="M60" s="132"/>
      <c r="N60" s="133"/>
      <c r="O60" s="133"/>
      <c r="P60" s="133"/>
      <c r="Q60" s="133"/>
      <c r="R60" s="133"/>
      <c r="S60" s="133"/>
      <c r="T60" s="133"/>
      <c r="U60" s="133"/>
      <c r="V60" s="134"/>
      <c r="W60" s="134"/>
      <c r="X60" s="134"/>
    </row>
    <row r="61" spans="1:24" s="39" customFormat="1" ht="18.5" outlineLevel="1" x14ac:dyDescent="0.45">
      <c r="A61" s="13"/>
      <c r="B61" s="130"/>
      <c r="C61" s="130"/>
      <c r="D61" s="130"/>
      <c r="E61" s="130"/>
      <c r="F61" s="131"/>
      <c r="G61" s="130"/>
      <c r="H61" s="130"/>
      <c r="I61" s="132"/>
      <c r="J61" s="132"/>
      <c r="K61" s="132"/>
      <c r="L61" s="132"/>
      <c r="M61" s="132"/>
      <c r="N61" s="133"/>
      <c r="O61" s="133"/>
      <c r="P61" s="133"/>
      <c r="Q61" s="133"/>
      <c r="R61" s="133"/>
      <c r="S61" s="133"/>
      <c r="T61" s="133"/>
      <c r="U61" s="133"/>
      <c r="V61" s="134"/>
      <c r="W61" s="134"/>
      <c r="X61" s="134"/>
    </row>
    <row r="62" spans="1:24" s="39" customFormat="1" ht="18.5" outlineLevel="1" x14ac:dyDescent="0.45">
      <c r="A62" s="13"/>
      <c r="B62" s="130"/>
      <c r="C62" s="130"/>
      <c r="D62" s="130"/>
      <c r="E62" s="130"/>
      <c r="F62" s="131"/>
      <c r="G62" s="130"/>
      <c r="H62" s="130"/>
      <c r="I62" s="132"/>
      <c r="J62" s="132"/>
      <c r="K62" s="132"/>
      <c r="L62" s="132"/>
      <c r="M62" s="132"/>
      <c r="N62" s="133"/>
      <c r="O62" s="133"/>
      <c r="P62" s="133"/>
      <c r="Q62" s="133"/>
      <c r="R62" s="133"/>
      <c r="S62" s="133"/>
      <c r="T62" s="133"/>
      <c r="U62" s="133"/>
      <c r="V62" s="134"/>
      <c r="W62" s="134"/>
      <c r="X62" s="134"/>
    </row>
    <row r="63" spans="1:24" s="39" customFormat="1" ht="18.5" outlineLevel="1" x14ac:dyDescent="0.45">
      <c r="A63" s="13"/>
      <c r="B63" s="130"/>
      <c r="C63" s="130"/>
      <c r="D63" s="130"/>
      <c r="E63" s="130"/>
      <c r="F63" s="131"/>
      <c r="G63" s="130"/>
      <c r="H63" s="130"/>
      <c r="I63" s="132"/>
      <c r="J63" s="132"/>
      <c r="K63" s="132"/>
      <c r="L63" s="132"/>
      <c r="M63" s="132"/>
      <c r="N63" s="133"/>
      <c r="O63" s="133"/>
      <c r="P63" s="133"/>
      <c r="Q63" s="133"/>
      <c r="R63" s="133"/>
      <c r="S63" s="133"/>
      <c r="T63" s="133"/>
      <c r="U63" s="133"/>
      <c r="V63" s="134"/>
      <c r="W63" s="134"/>
      <c r="X63" s="134"/>
    </row>
    <row r="64" spans="1:24" s="39" customFormat="1" ht="18.5" outlineLevel="1" x14ac:dyDescent="0.45">
      <c r="A64" s="13"/>
      <c r="B64" s="130"/>
      <c r="C64" s="130"/>
      <c r="D64" s="130"/>
      <c r="E64" s="130"/>
      <c r="F64" s="131"/>
      <c r="G64" s="130"/>
      <c r="H64" s="130"/>
      <c r="I64" s="132"/>
      <c r="J64" s="132"/>
      <c r="K64" s="132"/>
      <c r="L64" s="132"/>
      <c r="M64" s="132"/>
      <c r="N64" s="133"/>
      <c r="O64" s="133"/>
      <c r="P64" s="133"/>
      <c r="Q64" s="133"/>
      <c r="R64" s="133"/>
      <c r="S64" s="133"/>
      <c r="T64" s="133"/>
      <c r="U64" s="133"/>
      <c r="V64" s="134"/>
      <c r="W64" s="134"/>
      <c r="X64" s="134"/>
    </row>
    <row r="65" spans="1:24" s="39" customFormat="1" ht="18.5" outlineLevel="1" x14ac:dyDescent="0.45">
      <c r="A65" s="13"/>
      <c r="B65" s="130"/>
      <c r="C65" s="130"/>
      <c r="D65" s="135"/>
      <c r="E65" s="135"/>
      <c r="F65" s="136"/>
      <c r="G65" s="135"/>
      <c r="H65" s="135"/>
      <c r="I65" s="137"/>
      <c r="J65" s="137"/>
      <c r="K65" s="137"/>
      <c r="L65" s="137"/>
      <c r="M65" s="137"/>
      <c r="N65" s="133"/>
      <c r="O65" s="133"/>
      <c r="P65" s="133"/>
      <c r="Q65" s="133"/>
      <c r="R65" s="133"/>
      <c r="S65" s="133"/>
      <c r="T65" s="133"/>
      <c r="U65" s="133"/>
      <c r="V65" s="134"/>
      <c r="W65" s="134"/>
      <c r="X65" s="134"/>
    </row>
    <row r="66" spans="1:24" s="39" customFormat="1" ht="18.5" outlineLevel="1" x14ac:dyDescent="0.45">
      <c r="A66" s="13"/>
      <c r="B66" s="130"/>
      <c r="C66" s="135"/>
      <c r="D66" s="130"/>
      <c r="E66" s="130"/>
      <c r="F66" s="131"/>
      <c r="G66" s="130"/>
      <c r="H66" s="130"/>
      <c r="I66" s="139"/>
      <c r="J66" s="139"/>
      <c r="K66" s="139"/>
      <c r="L66" s="139"/>
      <c r="M66" s="139"/>
      <c r="N66" s="133"/>
      <c r="O66" s="133"/>
      <c r="P66" s="133"/>
      <c r="Q66" s="133"/>
      <c r="R66" s="133"/>
      <c r="S66" s="133"/>
      <c r="T66" s="133"/>
      <c r="U66" s="133"/>
      <c r="V66" s="134"/>
      <c r="W66" s="134"/>
      <c r="X66" s="134"/>
    </row>
    <row r="67" spans="1:24" s="39" customFormat="1" ht="18.5" outlineLevel="1" x14ac:dyDescent="0.45">
      <c r="A67" s="13"/>
      <c r="B67" s="130"/>
      <c r="C67" s="130"/>
      <c r="D67" s="130"/>
      <c r="E67" s="130"/>
      <c r="F67" s="131"/>
      <c r="G67" s="130"/>
      <c r="H67" s="130"/>
      <c r="I67" s="132"/>
      <c r="J67" s="132"/>
      <c r="K67" s="132"/>
      <c r="L67" s="132"/>
      <c r="M67" s="132"/>
      <c r="N67" s="133"/>
      <c r="O67" s="133"/>
      <c r="P67" s="133"/>
      <c r="Q67" s="133"/>
      <c r="R67" s="133"/>
      <c r="S67" s="133"/>
      <c r="T67" s="133"/>
      <c r="U67" s="133"/>
      <c r="V67" s="134"/>
      <c r="W67" s="134"/>
      <c r="X67" s="134"/>
    </row>
    <row r="68" spans="1:24" s="39" customFormat="1" ht="18.5" outlineLevel="1" x14ac:dyDescent="0.45">
      <c r="A68" s="13"/>
      <c r="B68" s="130"/>
      <c r="C68" s="130"/>
      <c r="D68" s="130"/>
      <c r="E68" s="130"/>
      <c r="F68" s="131"/>
      <c r="G68" s="130"/>
      <c r="H68" s="130"/>
      <c r="I68" s="132"/>
      <c r="J68" s="132"/>
      <c r="K68" s="132"/>
      <c r="L68" s="132"/>
      <c r="M68" s="132"/>
      <c r="N68" s="133"/>
      <c r="O68" s="133"/>
      <c r="P68" s="133"/>
      <c r="Q68" s="133"/>
      <c r="R68" s="133"/>
      <c r="S68" s="133"/>
      <c r="T68" s="133"/>
      <c r="U68" s="133"/>
      <c r="V68" s="134"/>
      <c r="W68" s="134"/>
      <c r="X68" s="134"/>
    </row>
    <row r="69" spans="1:24" s="39" customFormat="1" ht="18.5" outlineLevel="1" x14ac:dyDescent="0.45">
      <c r="A69" s="13"/>
      <c r="B69" s="130"/>
      <c r="C69" s="130"/>
      <c r="D69" s="135"/>
      <c r="E69" s="135"/>
      <c r="F69" s="136"/>
      <c r="G69" s="135"/>
      <c r="H69" s="135"/>
      <c r="I69" s="137"/>
      <c r="J69" s="137"/>
      <c r="K69" s="137"/>
      <c r="L69" s="137"/>
      <c r="M69" s="137"/>
      <c r="N69" s="133"/>
      <c r="O69" s="133"/>
      <c r="P69" s="133"/>
      <c r="Q69" s="133"/>
      <c r="R69" s="133"/>
      <c r="S69" s="133"/>
      <c r="T69" s="133"/>
      <c r="U69" s="133"/>
      <c r="V69" s="134"/>
      <c r="W69" s="134"/>
      <c r="X69" s="134"/>
    </row>
    <row r="70" spans="1:24" s="39" customFormat="1" ht="18.5" outlineLevel="1" x14ac:dyDescent="0.45">
      <c r="A70" s="13"/>
      <c r="B70" s="130"/>
      <c r="C70" s="130"/>
      <c r="D70" s="130"/>
      <c r="E70" s="130"/>
      <c r="F70" s="131"/>
      <c r="G70" s="130"/>
      <c r="H70" s="130"/>
      <c r="I70" s="132"/>
      <c r="J70" s="132"/>
      <c r="K70" s="132"/>
      <c r="L70" s="132"/>
      <c r="M70" s="132"/>
      <c r="N70" s="133"/>
      <c r="O70" s="133"/>
      <c r="P70" s="133"/>
      <c r="Q70" s="133"/>
      <c r="R70" s="133"/>
      <c r="S70" s="133"/>
      <c r="T70" s="133"/>
      <c r="U70" s="133"/>
      <c r="V70" s="134"/>
      <c r="W70" s="134"/>
      <c r="X70" s="134"/>
    </row>
    <row r="71" spans="1:24" s="39" customFormat="1" ht="18.5" outlineLevel="1" x14ac:dyDescent="0.45">
      <c r="A71" s="13"/>
      <c r="B71" s="130"/>
      <c r="C71" s="130"/>
      <c r="D71" s="135"/>
      <c r="E71" s="135"/>
      <c r="F71" s="136"/>
      <c r="G71" s="135"/>
      <c r="H71" s="135"/>
      <c r="I71" s="137"/>
      <c r="J71" s="137"/>
      <c r="K71" s="137"/>
      <c r="L71" s="137"/>
      <c r="M71" s="137"/>
      <c r="N71" s="133"/>
      <c r="O71" s="133"/>
      <c r="P71" s="133"/>
      <c r="Q71" s="133"/>
      <c r="R71" s="133"/>
      <c r="S71" s="133"/>
      <c r="T71" s="133"/>
      <c r="U71" s="133"/>
      <c r="V71" s="134"/>
      <c r="W71" s="134"/>
      <c r="X71" s="134"/>
    </row>
    <row r="72" spans="1:24" s="39" customFormat="1" ht="18.5" outlineLevel="1" x14ac:dyDescent="0.45">
      <c r="A72" s="13"/>
      <c r="B72" s="130"/>
      <c r="C72" s="130"/>
      <c r="D72" s="130"/>
      <c r="E72" s="130"/>
      <c r="F72" s="130"/>
      <c r="G72" s="130"/>
      <c r="H72" s="130"/>
      <c r="I72" s="132"/>
      <c r="J72" s="132"/>
      <c r="K72" s="132"/>
      <c r="L72" s="132"/>
      <c r="M72" s="132"/>
      <c r="N72" s="133"/>
      <c r="O72" s="133"/>
      <c r="P72" s="133"/>
      <c r="Q72" s="133"/>
      <c r="R72" s="133"/>
      <c r="S72" s="133"/>
      <c r="T72" s="133"/>
      <c r="U72" s="133"/>
      <c r="V72" s="134"/>
      <c r="W72" s="134"/>
      <c r="X72" s="134"/>
    </row>
    <row r="73" spans="1:24" s="39" customFormat="1" ht="18.5" outlineLevel="1" x14ac:dyDescent="0.45">
      <c r="A73" s="13"/>
      <c r="B73" s="130"/>
      <c r="C73" s="130"/>
      <c r="D73" s="130"/>
      <c r="E73" s="130"/>
      <c r="F73" s="130"/>
      <c r="G73" s="130"/>
      <c r="H73" s="130"/>
      <c r="I73" s="132"/>
      <c r="J73" s="132"/>
      <c r="K73" s="132"/>
      <c r="L73" s="132"/>
      <c r="M73" s="132"/>
      <c r="N73" s="133"/>
      <c r="O73" s="133"/>
      <c r="P73" s="133"/>
      <c r="Q73" s="133"/>
      <c r="R73" s="133"/>
      <c r="S73" s="133"/>
      <c r="T73" s="133"/>
      <c r="U73" s="133"/>
      <c r="V73" s="134"/>
      <c r="W73" s="134"/>
      <c r="X73" s="134"/>
    </row>
    <row r="74" spans="1:24" s="39" customFormat="1" ht="18.5" outlineLevel="1" x14ac:dyDescent="0.45">
      <c r="A74" s="13"/>
      <c r="B74" s="130"/>
      <c r="C74" s="130"/>
      <c r="D74" s="130"/>
      <c r="E74" s="130"/>
      <c r="F74" s="130"/>
      <c r="G74" s="130"/>
      <c r="H74" s="130"/>
      <c r="I74" s="132"/>
      <c r="J74" s="132"/>
      <c r="K74" s="132"/>
      <c r="L74" s="132"/>
      <c r="M74" s="132"/>
      <c r="N74" s="133"/>
      <c r="O74" s="133"/>
      <c r="P74" s="133"/>
      <c r="Q74" s="133"/>
      <c r="R74" s="133"/>
      <c r="S74" s="133"/>
      <c r="T74" s="133"/>
      <c r="U74" s="133"/>
      <c r="V74" s="134"/>
      <c r="W74" s="134"/>
      <c r="X74" s="134"/>
    </row>
    <row r="75" spans="1:24" s="39" customFormat="1" ht="18.5" x14ac:dyDescent="0.45">
      <c r="A75" s="13"/>
      <c r="B75" s="130"/>
      <c r="C75" s="130"/>
      <c r="D75" s="130"/>
      <c r="E75" s="130"/>
      <c r="F75" s="130"/>
      <c r="G75" s="130"/>
      <c r="H75" s="130"/>
      <c r="I75" s="132"/>
      <c r="J75" s="132"/>
      <c r="K75" s="132"/>
      <c r="L75" s="132"/>
      <c r="M75" s="132"/>
      <c r="N75" s="133"/>
      <c r="O75" s="133"/>
      <c r="P75" s="133"/>
      <c r="Q75" s="133"/>
      <c r="R75" s="133"/>
      <c r="S75" s="133"/>
      <c r="T75" s="133"/>
      <c r="U75" s="133"/>
      <c r="V75" s="134"/>
      <c r="W75" s="134"/>
      <c r="X75" s="134"/>
    </row>
    <row r="76" spans="1:24" s="39" customFormat="1" ht="18.5" x14ac:dyDescent="0.45">
      <c r="A76" s="13"/>
      <c r="B76" s="130"/>
      <c r="C76" s="130"/>
      <c r="D76" s="130"/>
      <c r="E76" s="130"/>
      <c r="F76" s="130"/>
      <c r="G76" s="130"/>
      <c r="H76" s="130"/>
      <c r="I76" s="132"/>
      <c r="J76" s="132"/>
      <c r="K76" s="132"/>
      <c r="L76" s="132"/>
      <c r="M76" s="132"/>
      <c r="N76" s="133"/>
      <c r="O76" s="133"/>
      <c r="P76" s="133"/>
      <c r="Q76" s="133"/>
      <c r="R76" s="133"/>
      <c r="S76" s="133"/>
      <c r="T76" s="133"/>
      <c r="U76" s="133"/>
      <c r="V76" s="134"/>
      <c r="W76" s="134"/>
      <c r="X76" s="134"/>
    </row>
    <row r="77" spans="1:24" s="39" customFormat="1" ht="20.5" x14ac:dyDescent="0.45">
      <c r="A77" s="38"/>
      <c r="B77" s="57"/>
      <c r="C77" s="57"/>
      <c r="D77" s="57"/>
      <c r="E77" s="57"/>
      <c r="F77" s="57"/>
      <c r="G77" s="57"/>
      <c r="H77" s="57"/>
      <c r="I77" s="57"/>
      <c r="J77" s="57"/>
      <c r="K77" s="57"/>
      <c r="L77" s="57"/>
      <c r="M77" s="57"/>
      <c r="N77" s="57"/>
      <c r="O77" s="57"/>
      <c r="P77" s="57"/>
      <c r="Q77" s="57"/>
      <c r="R77" s="57"/>
      <c r="S77" s="57"/>
      <c r="T77" s="57"/>
      <c r="U77" s="57"/>
      <c r="V77" s="134"/>
      <c r="W77" s="134"/>
      <c r="X77" s="134"/>
    </row>
    <row r="78" spans="1:24" s="39" customFormat="1" ht="18.5" x14ac:dyDescent="0.45">
      <c r="A78" s="13"/>
      <c r="B78" s="130"/>
      <c r="C78" s="130"/>
      <c r="D78" s="130"/>
      <c r="E78" s="130"/>
      <c r="F78" s="130"/>
      <c r="G78" s="130"/>
      <c r="H78" s="130"/>
      <c r="I78" s="132"/>
      <c r="J78" s="132"/>
      <c r="K78" s="132"/>
      <c r="L78" s="132"/>
      <c r="M78" s="132"/>
      <c r="N78" s="133"/>
      <c r="O78" s="133"/>
      <c r="P78" s="133"/>
      <c r="Q78" s="133"/>
      <c r="R78" s="133"/>
      <c r="S78" s="133"/>
      <c r="T78" s="133"/>
      <c r="U78" s="133"/>
      <c r="V78" s="134"/>
      <c r="W78" s="134"/>
      <c r="X78" s="134"/>
    </row>
    <row r="79" spans="1:24" s="39" customFormat="1" ht="18.5" outlineLevel="1" x14ac:dyDescent="0.45">
      <c r="A79" s="13"/>
      <c r="B79" s="130"/>
      <c r="C79" s="130"/>
      <c r="D79" s="130"/>
      <c r="E79" s="130"/>
      <c r="F79" s="130"/>
      <c r="G79" s="130"/>
      <c r="H79" s="130"/>
      <c r="I79" s="132"/>
      <c r="J79" s="132"/>
      <c r="K79" s="132"/>
      <c r="L79" s="132"/>
      <c r="M79" s="132"/>
      <c r="N79" s="133"/>
      <c r="O79" s="133"/>
      <c r="P79" s="133"/>
      <c r="Q79" s="133"/>
      <c r="R79" s="133"/>
      <c r="S79" s="133"/>
      <c r="T79" s="133"/>
      <c r="U79" s="133"/>
      <c r="V79" s="134"/>
      <c r="W79" s="134"/>
      <c r="X79" s="134"/>
    </row>
    <row r="80" spans="1:24" s="39" customFormat="1" ht="18.5" outlineLevel="1" x14ac:dyDescent="0.45">
      <c r="A80" s="13"/>
      <c r="B80" s="130"/>
      <c r="C80" s="130"/>
      <c r="D80" s="130"/>
      <c r="E80" s="130"/>
      <c r="F80" s="131"/>
      <c r="G80" s="130"/>
      <c r="H80" s="130"/>
      <c r="I80" s="132"/>
      <c r="J80" s="132"/>
      <c r="K80" s="132"/>
      <c r="L80" s="132"/>
      <c r="M80" s="132"/>
      <c r="N80" s="133"/>
      <c r="O80" s="133"/>
      <c r="P80" s="133"/>
      <c r="Q80" s="133"/>
      <c r="R80" s="133"/>
      <c r="S80" s="133"/>
      <c r="T80" s="133"/>
      <c r="U80" s="133"/>
      <c r="V80" s="134"/>
      <c r="W80" s="134"/>
      <c r="X80" s="134"/>
    </row>
    <row r="81" spans="1:24" s="39" customFormat="1" ht="18.5" outlineLevel="1" x14ac:dyDescent="0.45">
      <c r="A81" s="13"/>
      <c r="B81" s="130"/>
      <c r="C81" s="130"/>
      <c r="D81" s="130"/>
      <c r="E81" s="130"/>
      <c r="F81" s="131"/>
      <c r="G81" s="130"/>
      <c r="H81" s="130"/>
      <c r="I81" s="132"/>
      <c r="J81" s="132"/>
      <c r="K81" s="132"/>
      <c r="L81" s="132"/>
      <c r="M81" s="132"/>
      <c r="N81" s="133"/>
      <c r="O81" s="133"/>
      <c r="P81" s="133"/>
      <c r="Q81" s="133"/>
      <c r="R81" s="133"/>
      <c r="S81" s="133"/>
      <c r="T81" s="133"/>
      <c r="U81" s="133"/>
      <c r="V81" s="134"/>
      <c r="W81" s="134"/>
      <c r="X81" s="134"/>
    </row>
    <row r="82" spans="1:24" s="39" customFormat="1" ht="18.5" outlineLevel="1" x14ac:dyDescent="0.45">
      <c r="A82" s="13"/>
      <c r="B82" s="130"/>
      <c r="C82" s="130"/>
      <c r="D82" s="130"/>
      <c r="E82" s="130"/>
      <c r="F82" s="131"/>
      <c r="G82" s="130"/>
      <c r="H82" s="130"/>
      <c r="I82" s="132"/>
      <c r="J82" s="132"/>
      <c r="K82" s="132"/>
      <c r="L82" s="132"/>
      <c r="M82" s="132"/>
      <c r="N82" s="134"/>
      <c r="O82" s="134"/>
      <c r="P82" s="134"/>
      <c r="Q82" s="134"/>
      <c r="R82" s="134"/>
      <c r="S82" s="134"/>
      <c r="T82" s="134"/>
      <c r="U82" s="134"/>
      <c r="V82" s="134"/>
      <c r="W82" s="134"/>
      <c r="X82" s="134"/>
    </row>
    <row r="83" spans="1:24" s="39" customFormat="1" ht="18.5" outlineLevel="1" x14ac:dyDescent="0.45">
      <c r="A83" s="13"/>
      <c r="B83" s="130"/>
      <c r="C83" s="130"/>
      <c r="D83" s="130"/>
      <c r="E83" s="130"/>
      <c r="F83" s="131"/>
      <c r="G83" s="130"/>
      <c r="H83" s="130"/>
      <c r="I83" s="129"/>
      <c r="J83" s="129"/>
      <c r="K83" s="129"/>
      <c r="L83" s="129"/>
      <c r="M83" s="129"/>
      <c r="N83" s="134"/>
      <c r="O83" s="134"/>
      <c r="P83" s="134"/>
      <c r="Q83" s="134"/>
      <c r="R83" s="134"/>
      <c r="S83" s="134"/>
      <c r="T83" s="134"/>
      <c r="U83" s="134"/>
      <c r="V83" s="134"/>
      <c r="W83" s="134"/>
      <c r="X83" s="134"/>
    </row>
    <row r="84" spans="1:24" s="39" customFormat="1" ht="18.5" outlineLevel="1" x14ac:dyDescent="0.45">
      <c r="A84" s="13"/>
      <c r="B84" s="130"/>
      <c r="C84" s="130"/>
      <c r="D84" s="69"/>
      <c r="E84" s="69"/>
      <c r="F84" s="140"/>
      <c r="G84" s="69"/>
      <c r="H84" s="69"/>
      <c r="I84" s="123"/>
      <c r="J84" s="123"/>
      <c r="K84" s="123"/>
      <c r="L84" s="123"/>
      <c r="M84" s="123"/>
      <c r="N84" s="134"/>
      <c r="O84" s="134"/>
      <c r="P84" s="134"/>
      <c r="Q84" s="134"/>
      <c r="R84" s="134"/>
      <c r="S84" s="134"/>
      <c r="T84" s="134"/>
      <c r="U84" s="134"/>
      <c r="V84" s="134"/>
      <c r="W84" s="134"/>
      <c r="X84" s="134"/>
    </row>
    <row r="85" spans="1:24" s="39" customFormat="1" ht="18.5" outlineLevel="1" x14ac:dyDescent="0.45">
      <c r="A85" s="13"/>
      <c r="B85" s="130"/>
      <c r="C85" s="130"/>
      <c r="D85" s="130"/>
      <c r="E85" s="130"/>
      <c r="F85" s="131"/>
      <c r="G85" s="130"/>
      <c r="H85" s="130"/>
      <c r="I85" s="132"/>
      <c r="J85" s="132"/>
      <c r="K85" s="132"/>
      <c r="L85" s="132"/>
      <c r="M85" s="132"/>
      <c r="N85" s="134"/>
      <c r="O85" s="134"/>
      <c r="P85" s="134"/>
      <c r="Q85" s="134"/>
      <c r="R85" s="134"/>
      <c r="S85" s="134"/>
      <c r="T85" s="134"/>
      <c r="U85" s="134"/>
      <c r="V85" s="134"/>
      <c r="W85" s="134"/>
      <c r="X85" s="134"/>
    </row>
    <row r="86" spans="1:24" s="39" customFormat="1" ht="18.5" outlineLevel="1" x14ac:dyDescent="0.45">
      <c r="A86" s="13"/>
      <c r="B86" s="130"/>
      <c r="C86" s="130"/>
      <c r="D86" s="130"/>
      <c r="E86" s="130"/>
      <c r="F86" s="131"/>
      <c r="G86" s="130"/>
      <c r="H86" s="130"/>
      <c r="I86" s="132"/>
      <c r="J86" s="132"/>
      <c r="K86" s="132"/>
      <c r="L86" s="132"/>
      <c r="M86" s="132"/>
      <c r="N86" s="134"/>
      <c r="O86" s="134"/>
      <c r="P86" s="134"/>
      <c r="Q86" s="134"/>
      <c r="R86" s="134"/>
      <c r="S86" s="134"/>
      <c r="T86" s="134"/>
      <c r="U86" s="134"/>
      <c r="V86" s="134"/>
      <c r="W86" s="134"/>
      <c r="X86" s="134"/>
    </row>
    <row r="87" spans="1:24" s="39" customFormat="1" ht="18.5" outlineLevel="1" x14ac:dyDescent="0.45">
      <c r="A87" s="13"/>
      <c r="B87" s="130"/>
      <c r="C87" s="130"/>
      <c r="D87" s="130"/>
      <c r="E87" s="130"/>
      <c r="F87" s="131"/>
      <c r="G87" s="130"/>
      <c r="H87" s="130"/>
      <c r="I87" s="132"/>
      <c r="J87" s="132"/>
      <c r="K87" s="132"/>
      <c r="L87" s="132"/>
      <c r="M87" s="132"/>
      <c r="N87" s="134"/>
      <c r="O87" s="134"/>
      <c r="P87" s="134"/>
      <c r="Q87" s="134"/>
      <c r="R87" s="134"/>
      <c r="S87" s="134"/>
      <c r="T87" s="134"/>
      <c r="U87" s="134"/>
      <c r="V87" s="134"/>
      <c r="W87" s="134"/>
      <c r="X87" s="134"/>
    </row>
    <row r="88" spans="1:24" s="39" customFormat="1" ht="18.5" outlineLevel="1" x14ac:dyDescent="0.45">
      <c r="A88" s="13"/>
      <c r="B88" s="130"/>
      <c r="C88" s="130"/>
      <c r="D88" s="130"/>
      <c r="E88" s="130"/>
      <c r="F88" s="131"/>
      <c r="G88" s="130"/>
      <c r="H88" s="130"/>
      <c r="I88" s="132"/>
      <c r="J88" s="132"/>
      <c r="K88" s="132"/>
      <c r="L88" s="132"/>
      <c r="M88" s="132"/>
      <c r="N88" s="134"/>
      <c r="O88" s="134"/>
      <c r="P88" s="134"/>
      <c r="Q88" s="134"/>
      <c r="R88" s="134"/>
      <c r="S88" s="134"/>
      <c r="T88" s="134"/>
      <c r="U88" s="134"/>
      <c r="V88" s="134"/>
      <c r="W88" s="134"/>
      <c r="X88" s="134"/>
    </row>
    <row r="89" spans="1:24" s="39" customFormat="1" ht="18.5" outlineLevel="1" x14ac:dyDescent="0.45">
      <c r="A89" s="13"/>
      <c r="B89" s="130"/>
      <c r="C89" s="130"/>
      <c r="D89" s="130"/>
      <c r="E89" s="130"/>
      <c r="F89" s="131"/>
      <c r="G89" s="130"/>
      <c r="H89" s="130"/>
      <c r="I89" s="132"/>
      <c r="J89" s="132"/>
      <c r="K89" s="132"/>
      <c r="L89" s="132"/>
      <c r="M89" s="132"/>
      <c r="N89" s="134"/>
      <c r="O89" s="134"/>
      <c r="P89" s="134"/>
      <c r="Q89" s="134"/>
      <c r="R89" s="134"/>
      <c r="S89" s="134"/>
      <c r="T89" s="134"/>
      <c r="U89" s="134"/>
      <c r="V89" s="134"/>
      <c r="W89" s="134"/>
      <c r="X89" s="134"/>
    </row>
    <row r="90" spans="1:24" s="39" customFormat="1" ht="18.5" outlineLevel="1" x14ac:dyDescent="0.45">
      <c r="A90" s="13"/>
      <c r="B90" s="130"/>
      <c r="C90" s="130"/>
      <c r="D90" s="54"/>
      <c r="E90" s="130"/>
      <c r="F90" s="131"/>
      <c r="G90" s="130"/>
      <c r="H90" s="130"/>
      <c r="I90" s="132"/>
      <c r="J90" s="132"/>
      <c r="K90" s="132"/>
      <c r="L90" s="132"/>
      <c r="M90" s="132"/>
      <c r="N90" s="134"/>
      <c r="O90" s="134"/>
      <c r="P90" s="134"/>
      <c r="Q90" s="134"/>
      <c r="R90" s="134"/>
      <c r="S90" s="134"/>
      <c r="T90" s="134"/>
      <c r="U90" s="134"/>
      <c r="V90" s="134"/>
      <c r="W90" s="134"/>
      <c r="X90" s="134"/>
    </row>
    <row r="91" spans="1:24" s="39" customFormat="1" ht="18.5" outlineLevel="1" x14ac:dyDescent="0.45">
      <c r="A91" s="13"/>
      <c r="B91" s="130"/>
      <c r="C91" s="130"/>
      <c r="D91" s="54"/>
      <c r="E91" s="130"/>
      <c r="F91" s="131"/>
      <c r="G91" s="130"/>
      <c r="H91" s="130"/>
      <c r="I91" s="132"/>
      <c r="J91" s="132"/>
      <c r="K91" s="132"/>
      <c r="L91" s="132"/>
      <c r="M91" s="132"/>
      <c r="N91" s="134"/>
      <c r="O91" s="134"/>
      <c r="P91" s="134"/>
      <c r="Q91" s="134"/>
      <c r="R91" s="134"/>
      <c r="S91" s="134"/>
      <c r="T91" s="134"/>
      <c r="U91" s="134"/>
      <c r="V91" s="134"/>
      <c r="W91" s="134"/>
      <c r="X91" s="134"/>
    </row>
    <row r="92" spans="1:24" s="39" customFormat="1" ht="18.5" outlineLevel="1" x14ac:dyDescent="0.45">
      <c r="A92" s="13"/>
      <c r="B92" s="130"/>
      <c r="C92" s="130"/>
      <c r="D92" s="54"/>
      <c r="E92" s="130"/>
      <c r="F92" s="131"/>
      <c r="G92" s="130"/>
      <c r="H92" s="130"/>
      <c r="I92" s="132"/>
      <c r="J92" s="132"/>
      <c r="K92" s="132"/>
      <c r="L92" s="132"/>
      <c r="M92" s="132"/>
      <c r="N92" s="134"/>
      <c r="O92" s="134"/>
      <c r="P92" s="134"/>
      <c r="Q92" s="134"/>
      <c r="R92" s="134"/>
      <c r="S92" s="134"/>
      <c r="T92" s="134"/>
      <c r="U92" s="134"/>
      <c r="V92" s="134"/>
      <c r="W92" s="134"/>
      <c r="X92" s="134"/>
    </row>
    <row r="93" spans="1:24" s="39" customFormat="1" ht="18.5" outlineLevel="1" x14ac:dyDescent="0.45">
      <c r="A93" s="13"/>
      <c r="B93" s="130"/>
      <c r="C93" s="130"/>
      <c r="D93" s="69"/>
      <c r="E93" s="69"/>
      <c r="F93" s="140"/>
      <c r="G93" s="69"/>
      <c r="H93" s="69"/>
      <c r="I93" s="123"/>
      <c r="J93" s="123"/>
      <c r="K93" s="123"/>
      <c r="L93" s="123"/>
      <c r="M93" s="123"/>
      <c r="N93" s="134"/>
      <c r="O93" s="134"/>
      <c r="P93" s="134"/>
      <c r="Q93" s="134"/>
      <c r="R93" s="134"/>
      <c r="S93" s="134"/>
      <c r="T93" s="134"/>
      <c r="U93" s="134"/>
      <c r="V93" s="134"/>
      <c r="W93" s="134"/>
      <c r="X93" s="134"/>
    </row>
    <row r="94" spans="1:24" s="39" customFormat="1" ht="18.5" outlineLevel="1" x14ac:dyDescent="0.45">
      <c r="A94" s="13"/>
      <c r="B94" s="130"/>
      <c r="C94" s="130"/>
      <c r="D94" s="130"/>
      <c r="E94" s="130"/>
      <c r="F94" s="130"/>
      <c r="G94" s="130"/>
      <c r="H94" s="130"/>
      <c r="I94" s="132"/>
      <c r="J94" s="132"/>
      <c r="K94" s="132"/>
      <c r="L94" s="132"/>
      <c r="M94" s="132"/>
      <c r="N94" s="134"/>
      <c r="O94" s="134"/>
      <c r="P94" s="134"/>
      <c r="Q94" s="134"/>
      <c r="R94" s="134"/>
      <c r="S94" s="134"/>
      <c r="T94" s="134"/>
      <c r="U94" s="134"/>
      <c r="V94" s="134"/>
      <c r="W94" s="134"/>
      <c r="X94" s="134"/>
    </row>
    <row r="95" spans="1:24" s="39" customFormat="1" ht="18.5" outlineLevel="1" x14ac:dyDescent="0.45">
      <c r="A95" s="13"/>
      <c r="B95" s="130"/>
      <c r="C95" s="130"/>
      <c r="D95" s="130"/>
      <c r="E95" s="130"/>
      <c r="F95" s="130"/>
      <c r="G95" s="130"/>
      <c r="H95" s="130"/>
      <c r="I95" s="132"/>
      <c r="J95" s="132"/>
      <c r="K95" s="132"/>
      <c r="L95" s="132"/>
      <c r="M95" s="132"/>
      <c r="N95" s="134"/>
      <c r="O95" s="134"/>
      <c r="P95" s="134"/>
      <c r="Q95" s="134"/>
      <c r="R95" s="134"/>
      <c r="S95" s="134"/>
      <c r="T95" s="134"/>
      <c r="U95" s="134"/>
      <c r="V95" s="134"/>
      <c r="W95" s="134"/>
      <c r="X95" s="134"/>
    </row>
    <row r="96" spans="1:24" s="39" customFormat="1" ht="18.5" outlineLevel="1" x14ac:dyDescent="0.45">
      <c r="A96" s="13"/>
      <c r="B96" s="130"/>
      <c r="C96" s="130"/>
      <c r="D96" s="130"/>
      <c r="E96" s="130"/>
      <c r="F96" s="131"/>
      <c r="G96" s="130"/>
      <c r="H96" s="130"/>
      <c r="I96" s="132"/>
      <c r="J96" s="132"/>
      <c r="K96" s="132"/>
      <c r="L96" s="132"/>
      <c r="M96" s="132"/>
      <c r="N96" s="134"/>
      <c r="O96" s="134"/>
      <c r="P96" s="134"/>
      <c r="Q96" s="134"/>
      <c r="R96" s="134"/>
      <c r="S96" s="134"/>
      <c r="T96" s="134"/>
      <c r="U96" s="134"/>
      <c r="V96" s="134"/>
      <c r="W96" s="134"/>
      <c r="X96" s="134"/>
    </row>
    <row r="97" spans="1:24" s="39" customFormat="1" ht="18.5" outlineLevel="1" x14ac:dyDescent="0.45">
      <c r="A97" s="13"/>
      <c r="B97" s="130"/>
      <c r="C97" s="130"/>
      <c r="D97" s="130"/>
      <c r="E97" s="130"/>
      <c r="F97" s="131"/>
      <c r="G97" s="130"/>
      <c r="H97" s="130"/>
      <c r="I97" s="132"/>
      <c r="J97" s="132"/>
      <c r="K97" s="132"/>
      <c r="L97" s="132"/>
      <c r="M97" s="132"/>
      <c r="N97" s="134"/>
      <c r="O97" s="134"/>
      <c r="P97" s="134"/>
      <c r="Q97" s="134"/>
      <c r="R97" s="134"/>
      <c r="S97" s="134"/>
      <c r="T97" s="134"/>
      <c r="U97" s="134"/>
      <c r="V97" s="134"/>
      <c r="W97" s="134"/>
      <c r="X97" s="134"/>
    </row>
    <row r="98" spans="1:24" s="39" customFormat="1" ht="18.5" outlineLevel="1" x14ac:dyDescent="0.45">
      <c r="A98" s="13"/>
      <c r="B98" s="130"/>
      <c r="C98" s="130"/>
      <c r="D98" s="130"/>
      <c r="E98" s="130"/>
      <c r="F98" s="131"/>
      <c r="G98" s="130"/>
      <c r="H98" s="130"/>
      <c r="I98" s="132"/>
      <c r="J98" s="132"/>
      <c r="K98" s="132"/>
      <c r="L98" s="132"/>
      <c r="M98" s="132"/>
      <c r="N98" s="134"/>
      <c r="O98" s="134"/>
      <c r="P98" s="134"/>
      <c r="Q98" s="134"/>
      <c r="R98" s="134"/>
      <c r="S98" s="134"/>
      <c r="T98" s="134"/>
      <c r="U98" s="134"/>
      <c r="V98" s="134"/>
      <c r="W98" s="134"/>
      <c r="X98" s="134"/>
    </row>
    <row r="99" spans="1:24" s="39" customFormat="1" ht="18.5" outlineLevel="1" x14ac:dyDescent="0.45">
      <c r="A99" s="13"/>
      <c r="B99" s="130"/>
      <c r="C99" s="130"/>
      <c r="D99" s="130"/>
      <c r="E99" s="130"/>
      <c r="F99" s="131"/>
      <c r="G99" s="130"/>
      <c r="H99" s="130"/>
      <c r="I99" s="132"/>
      <c r="J99" s="132"/>
      <c r="K99" s="132"/>
      <c r="L99" s="132"/>
      <c r="M99" s="132"/>
      <c r="N99" s="134"/>
      <c r="O99" s="134"/>
      <c r="P99" s="134"/>
      <c r="Q99" s="134"/>
      <c r="R99" s="134"/>
      <c r="S99" s="134"/>
      <c r="T99" s="134"/>
      <c r="U99" s="134"/>
      <c r="V99" s="134"/>
      <c r="W99" s="134"/>
      <c r="X99" s="134"/>
    </row>
    <row r="100" spans="1:24" s="39" customFormat="1" ht="18.5" outlineLevel="1" x14ac:dyDescent="0.45">
      <c r="A100" s="13"/>
      <c r="B100" s="130"/>
      <c r="C100" s="130"/>
      <c r="D100" s="69"/>
      <c r="E100" s="69"/>
      <c r="F100" s="140"/>
      <c r="G100" s="69"/>
      <c r="H100" s="69"/>
      <c r="I100" s="123"/>
      <c r="J100" s="123"/>
      <c r="K100" s="123"/>
      <c r="L100" s="123"/>
      <c r="M100" s="123"/>
      <c r="N100" s="134"/>
      <c r="O100" s="134"/>
      <c r="P100" s="134"/>
      <c r="Q100" s="134"/>
      <c r="R100" s="134"/>
      <c r="S100" s="134"/>
      <c r="T100" s="134"/>
      <c r="U100" s="134"/>
      <c r="V100" s="134"/>
      <c r="W100" s="134"/>
      <c r="X100" s="134"/>
    </row>
    <row r="101" spans="1:24" s="39" customFormat="1" ht="18.5" outlineLevel="1" x14ac:dyDescent="0.45">
      <c r="A101" s="13"/>
      <c r="B101" s="130"/>
      <c r="C101" s="130"/>
      <c r="D101" s="130"/>
      <c r="E101" s="130"/>
      <c r="F101" s="130"/>
      <c r="G101" s="130"/>
      <c r="H101" s="130"/>
      <c r="I101" s="132"/>
      <c r="J101" s="132"/>
      <c r="K101" s="132"/>
      <c r="L101" s="132"/>
      <c r="M101" s="132"/>
      <c r="N101" s="134"/>
      <c r="O101" s="134"/>
      <c r="P101" s="134"/>
      <c r="Q101" s="134"/>
      <c r="R101" s="134"/>
      <c r="S101" s="134"/>
      <c r="T101" s="134"/>
      <c r="U101" s="134"/>
      <c r="V101" s="134"/>
      <c r="W101" s="134"/>
      <c r="X101" s="134"/>
    </row>
    <row r="102" spans="1:24" s="39" customFormat="1" ht="18.5" outlineLevel="1" x14ac:dyDescent="0.45">
      <c r="A102" s="13"/>
      <c r="B102" s="130"/>
      <c r="C102" s="134"/>
      <c r="D102" s="130"/>
      <c r="E102" s="130"/>
      <c r="F102" s="131"/>
      <c r="G102" s="130"/>
      <c r="H102" s="130"/>
      <c r="I102" s="129"/>
      <c r="J102" s="129"/>
      <c r="K102" s="129"/>
      <c r="L102" s="129"/>
      <c r="M102" s="129"/>
      <c r="N102" s="134"/>
      <c r="O102" s="134"/>
      <c r="P102" s="134"/>
      <c r="Q102" s="134"/>
      <c r="R102" s="134"/>
      <c r="S102" s="134"/>
      <c r="T102" s="134"/>
      <c r="U102" s="134"/>
      <c r="V102" s="134"/>
      <c r="W102" s="134"/>
      <c r="X102" s="134"/>
    </row>
    <row r="103" spans="1:24" s="39" customFormat="1" ht="18.5" outlineLevel="1" x14ac:dyDescent="0.45">
      <c r="A103" s="13"/>
      <c r="B103" s="130"/>
      <c r="C103" s="130"/>
      <c r="D103" s="130"/>
      <c r="E103" s="130"/>
      <c r="F103" s="131"/>
      <c r="G103" s="130"/>
      <c r="H103" s="130"/>
      <c r="I103" s="132"/>
      <c r="J103" s="132"/>
      <c r="K103" s="132"/>
      <c r="L103" s="132"/>
      <c r="M103" s="132"/>
      <c r="N103" s="134"/>
      <c r="O103" s="134"/>
      <c r="P103" s="134"/>
      <c r="Q103" s="134"/>
      <c r="R103" s="134"/>
      <c r="S103" s="134"/>
      <c r="T103" s="134"/>
      <c r="U103" s="134"/>
      <c r="V103" s="134"/>
      <c r="W103" s="134"/>
      <c r="X103" s="134"/>
    </row>
    <row r="104" spans="1:24" s="39" customFormat="1" ht="18.5" outlineLevel="1" x14ac:dyDescent="0.45">
      <c r="A104" s="13"/>
      <c r="B104" s="130"/>
      <c r="C104" s="130"/>
      <c r="D104" s="135"/>
      <c r="E104" s="135"/>
      <c r="F104" s="136"/>
      <c r="G104" s="135"/>
      <c r="H104" s="135"/>
      <c r="I104" s="123"/>
      <c r="J104" s="123"/>
      <c r="K104" s="123"/>
      <c r="L104" s="123"/>
      <c r="M104" s="123"/>
      <c r="N104" s="134"/>
      <c r="O104" s="134"/>
      <c r="P104" s="134"/>
      <c r="Q104" s="134"/>
      <c r="R104" s="134"/>
      <c r="S104" s="134"/>
      <c r="T104" s="134"/>
      <c r="U104" s="134"/>
      <c r="V104" s="134"/>
      <c r="W104" s="134"/>
      <c r="X104" s="134"/>
    </row>
    <row r="105" spans="1:24" s="39" customFormat="1" ht="18.5" outlineLevel="1" x14ac:dyDescent="0.45">
      <c r="A105" s="13"/>
      <c r="B105" s="130"/>
      <c r="C105" s="130"/>
      <c r="D105" s="130"/>
      <c r="E105" s="130"/>
      <c r="F105" s="130"/>
      <c r="G105" s="130"/>
      <c r="H105" s="130"/>
      <c r="I105" s="132"/>
      <c r="J105" s="132"/>
      <c r="K105" s="132"/>
      <c r="L105" s="132"/>
      <c r="M105" s="132"/>
      <c r="N105" s="134"/>
      <c r="O105" s="134"/>
      <c r="P105" s="134"/>
      <c r="Q105" s="134"/>
      <c r="R105" s="134"/>
      <c r="S105" s="134"/>
      <c r="T105" s="134"/>
      <c r="U105" s="134"/>
      <c r="V105" s="134"/>
      <c r="W105" s="134"/>
      <c r="X105" s="134"/>
    </row>
    <row r="106" spans="1:24" s="39" customFormat="1" ht="18.5" x14ac:dyDescent="0.45">
      <c r="A106" s="13"/>
      <c r="B106" s="130"/>
      <c r="C106" s="130"/>
      <c r="D106" s="130"/>
      <c r="E106" s="130"/>
      <c r="F106" s="130"/>
      <c r="G106" s="130"/>
      <c r="H106" s="130"/>
      <c r="I106" s="132"/>
      <c r="J106" s="132"/>
      <c r="K106" s="132"/>
      <c r="L106" s="132"/>
      <c r="M106" s="132"/>
      <c r="N106" s="134"/>
      <c r="O106" s="134"/>
      <c r="P106" s="134"/>
      <c r="Q106" s="134"/>
      <c r="R106" s="134"/>
      <c r="S106" s="134"/>
      <c r="T106" s="134"/>
      <c r="U106" s="134"/>
      <c r="V106" s="134"/>
      <c r="W106" s="134"/>
      <c r="X106" s="134"/>
    </row>
    <row r="107" spans="1:24" s="39" customFormat="1" ht="18.5" x14ac:dyDescent="0.45">
      <c r="A107" s="13"/>
      <c r="B107" s="130"/>
      <c r="C107" s="130"/>
      <c r="D107" s="130"/>
      <c r="E107" s="130"/>
      <c r="F107" s="130"/>
      <c r="G107" s="130"/>
      <c r="H107" s="130"/>
      <c r="I107" s="132"/>
      <c r="J107" s="132"/>
      <c r="K107" s="132"/>
      <c r="L107" s="132"/>
      <c r="M107" s="132"/>
      <c r="N107" s="134"/>
      <c r="O107" s="134"/>
      <c r="P107" s="134"/>
      <c r="Q107" s="134"/>
      <c r="R107" s="134"/>
      <c r="S107" s="134"/>
      <c r="T107" s="134"/>
      <c r="U107" s="134"/>
      <c r="V107" s="134"/>
      <c r="W107" s="134"/>
      <c r="X107" s="134"/>
    </row>
    <row r="108" spans="1:24" s="39" customFormat="1" ht="20.5" x14ac:dyDescent="0.45">
      <c r="A108" s="38"/>
      <c r="B108" s="57"/>
      <c r="C108" s="57"/>
      <c r="D108" s="57"/>
      <c r="E108" s="57"/>
      <c r="F108" s="57"/>
      <c r="G108" s="57"/>
      <c r="H108" s="57"/>
      <c r="I108" s="57"/>
      <c r="J108" s="57"/>
      <c r="K108" s="57"/>
      <c r="L108" s="57"/>
      <c r="M108" s="57"/>
      <c r="N108" s="57"/>
      <c r="O108" s="57"/>
      <c r="P108" s="57"/>
      <c r="Q108" s="57"/>
      <c r="R108" s="57"/>
      <c r="S108" s="57"/>
      <c r="T108" s="57"/>
      <c r="U108" s="57"/>
      <c r="V108" s="134"/>
      <c r="W108" s="134"/>
      <c r="X108" s="134"/>
    </row>
    <row r="109" spans="1:24" s="39" customFormat="1" ht="18.5" x14ac:dyDescent="0.45">
      <c r="A109" s="13"/>
      <c r="B109" s="130"/>
      <c r="C109" s="130"/>
      <c r="D109" s="130"/>
      <c r="E109" s="130"/>
      <c r="F109" s="130"/>
      <c r="G109" s="130"/>
      <c r="H109" s="130"/>
      <c r="I109" s="132"/>
      <c r="J109" s="132"/>
      <c r="K109" s="132"/>
      <c r="L109" s="132"/>
      <c r="M109" s="132"/>
      <c r="N109" s="134"/>
      <c r="O109" s="134"/>
      <c r="P109" s="134"/>
      <c r="Q109" s="134"/>
      <c r="R109" s="134"/>
      <c r="S109" s="134"/>
      <c r="T109" s="134"/>
      <c r="U109" s="134"/>
      <c r="V109" s="134"/>
      <c r="W109" s="134"/>
      <c r="X109" s="134"/>
    </row>
    <row r="110" spans="1:24" s="39" customFormat="1" ht="18.5" x14ac:dyDescent="0.45">
      <c r="A110" s="13"/>
      <c r="B110" s="130"/>
      <c r="C110" s="135"/>
      <c r="D110" s="130"/>
      <c r="E110" s="130"/>
      <c r="F110" s="130"/>
      <c r="G110" s="130"/>
      <c r="H110" s="130"/>
      <c r="I110" s="132"/>
      <c r="J110" s="132"/>
      <c r="K110" s="132"/>
      <c r="L110" s="132"/>
      <c r="M110" s="132"/>
      <c r="N110" s="134"/>
      <c r="O110" s="134"/>
      <c r="P110" s="134"/>
      <c r="Q110" s="134"/>
      <c r="R110" s="134"/>
      <c r="S110" s="134"/>
      <c r="T110" s="134"/>
      <c r="U110" s="134"/>
      <c r="V110" s="134"/>
      <c r="W110" s="134"/>
      <c r="X110" s="134"/>
    </row>
    <row r="111" spans="1:24" s="39" customFormat="1" ht="18.5" x14ac:dyDescent="0.45">
      <c r="A111" s="13"/>
      <c r="B111" s="130"/>
      <c r="C111" s="130"/>
      <c r="D111" s="130"/>
      <c r="E111" s="130"/>
      <c r="F111" s="131"/>
      <c r="G111" s="130"/>
      <c r="H111" s="130"/>
      <c r="I111" s="132"/>
      <c r="J111" s="132"/>
      <c r="K111" s="132"/>
      <c r="L111" s="132"/>
      <c r="M111" s="132"/>
      <c r="N111" s="134"/>
      <c r="O111" s="134"/>
      <c r="P111" s="134"/>
      <c r="Q111" s="134"/>
      <c r="R111" s="134"/>
      <c r="S111" s="134"/>
      <c r="T111" s="134"/>
      <c r="U111" s="134"/>
      <c r="V111" s="134"/>
      <c r="W111" s="134"/>
      <c r="X111" s="134"/>
    </row>
    <row r="112" spans="1:24" s="39" customFormat="1" ht="18.5" x14ac:dyDescent="0.45">
      <c r="A112" s="13"/>
      <c r="B112" s="130"/>
      <c r="C112" s="130"/>
      <c r="D112" s="130"/>
      <c r="E112" s="130"/>
      <c r="F112" s="131"/>
      <c r="G112" s="130"/>
      <c r="H112" s="130"/>
      <c r="I112" s="132"/>
      <c r="J112" s="132"/>
      <c r="K112" s="132"/>
      <c r="L112" s="132"/>
      <c r="M112" s="132"/>
      <c r="N112" s="134"/>
      <c r="O112" s="134"/>
      <c r="P112" s="134"/>
      <c r="Q112" s="134"/>
      <c r="R112" s="134"/>
      <c r="S112" s="134"/>
      <c r="T112" s="134"/>
      <c r="U112" s="134"/>
      <c r="V112" s="134"/>
      <c r="W112" s="134"/>
      <c r="X112" s="134"/>
    </row>
    <row r="113" spans="1:24" s="39" customFormat="1" ht="18.5" x14ac:dyDescent="0.45">
      <c r="A113" s="13"/>
      <c r="B113" s="130"/>
      <c r="C113" s="130"/>
      <c r="D113" s="130"/>
      <c r="E113" s="130"/>
      <c r="F113" s="131"/>
      <c r="G113" s="130"/>
      <c r="H113" s="130"/>
      <c r="I113" s="132"/>
      <c r="J113" s="132"/>
      <c r="K113" s="132"/>
      <c r="L113" s="132"/>
      <c r="M113" s="132"/>
      <c r="N113" s="134"/>
      <c r="O113" s="134"/>
      <c r="P113" s="134"/>
      <c r="Q113" s="134"/>
      <c r="R113" s="134"/>
      <c r="S113" s="134"/>
      <c r="T113" s="134"/>
      <c r="U113" s="134"/>
      <c r="V113" s="134"/>
      <c r="W113" s="134"/>
      <c r="X113" s="134"/>
    </row>
    <row r="114" spans="1:24" s="39" customFormat="1" ht="18.5" x14ac:dyDescent="0.45">
      <c r="A114" s="13"/>
      <c r="B114" s="130"/>
      <c r="C114" s="130"/>
      <c r="D114" s="130"/>
      <c r="E114" s="130"/>
      <c r="F114" s="131"/>
      <c r="G114" s="130"/>
      <c r="H114" s="130"/>
      <c r="I114" s="132"/>
      <c r="J114" s="132"/>
      <c r="K114" s="132"/>
      <c r="L114" s="132"/>
      <c r="M114" s="132"/>
      <c r="N114" s="134"/>
      <c r="O114" s="134"/>
      <c r="P114" s="134"/>
      <c r="Q114" s="134"/>
      <c r="R114" s="134"/>
      <c r="S114" s="134"/>
      <c r="T114" s="134"/>
      <c r="U114" s="134"/>
      <c r="V114" s="134"/>
      <c r="W114" s="134"/>
      <c r="X114" s="134"/>
    </row>
    <row r="115" spans="1:24" s="39" customFormat="1" ht="18.5" x14ac:dyDescent="0.45">
      <c r="A115" s="13"/>
      <c r="B115" s="130"/>
      <c r="C115" s="130"/>
      <c r="D115" s="69"/>
      <c r="E115" s="69"/>
      <c r="F115" s="140"/>
      <c r="G115" s="69"/>
      <c r="H115" s="69"/>
      <c r="I115" s="123"/>
      <c r="J115" s="123"/>
      <c r="K115" s="123"/>
      <c r="L115" s="123"/>
      <c r="M115" s="123"/>
      <c r="N115" s="134"/>
      <c r="O115" s="134"/>
      <c r="P115" s="134"/>
      <c r="Q115" s="134"/>
      <c r="R115" s="134"/>
      <c r="S115" s="134"/>
      <c r="T115" s="134"/>
      <c r="U115" s="134"/>
      <c r="V115" s="134"/>
      <c r="W115" s="134"/>
      <c r="X115" s="134"/>
    </row>
    <row r="116" spans="1:24" s="39" customFormat="1" ht="18.5" x14ac:dyDescent="0.45">
      <c r="A116" s="13"/>
      <c r="B116" s="130"/>
      <c r="C116" s="130"/>
      <c r="D116" s="130"/>
      <c r="E116" s="130"/>
      <c r="F116" s="131"/>
      <c r="G116" s="130"/>
      <c r="H116" s="130"/>
      <c r="I116" s="132"/>
      <c r="J116" s="132"/>
      <c r="K116" s="132"/>
      <c r="L116" s="132"/>
      <c r="M116" s="132"/>
      <c r="N116" s="134"/>
      <c r="O116" s="134"/>
      <c r="P116" s="134"/>
      <c r="Q116" s="134"/>
      <c r="R116" s="134"/>
      <c r="S116" s="134"/>
      <c r="T116" s="134"/>
      <c r="U116" s="134"/>
      <c r="V116" s="134"/>
      <c r="W116" s="134"/>
      <c r="X116" s="134"/>
    </row>
    <row r="117" spans="1:24" s="39" customFormat="1" ht="18.5" x14ac:dyDescent="0.45">
      <c r="A117" s="13"/>
      <c r="B117" s="130"/>
      <c r="C117" s="130"/>
      <c r="D117" s="130"/>
      <c r="E117" s="130"/>
      <c r="F117" s="134"/>
      <c r="G117" s="130"/>
      <c r="H117" s="130"/>
      <c r="I117" s="132"/>
      <c r="J117" s="132"/>
      <c r="K117" s="132"/>
      <c r="L117" s="132"/>
      <c r="M117" s="132"/>
      <c r="N117" s="134"/>
      <c r="O117" s="134"/>
      <c r="P117" s="134"/>
      <c r="Q117" s="134"/>
      <c r="R117" s="134"/>
      <c r="S117" s="134"/>
      <c r="T117" s="134"/>
      <c r="U117" s="134"/>
      <c r="V117" s="134"/>
      <c r="W117" s="134"/>
      <c r="X117" s="134"/>
    </row>
    <row r="118" spans="1:24" s="39" customFormat="1" ht="18.5" x14ac:dyDescent="0.45">
      <c r="A118" s="13"/>
      <c r="B118" s="130"/>
      <c r="C118" s="130"/>
      <c r="D118" s="130"/>
      <c r="E118" s="130"/>
      <c r="F118" s="131"/>
      <c r="G118" s="130"/>
      <c r="H118" s="130"/>
      <c r="I118" s="132"/>
      <c r="J118" s="132"/>
      <c r="K118" s="132"/>
      <c r="L118" s="132"/>
      <c r="M118" s="132"/>
      <c r="N118" s="134"/>
      <c r="O118" s="134"/>
      <c r="P118" s="134"/>
      <c r="Q118" s="134"/>
      <c r="R118" s="134"/>
      <c r="S118" s="134"/>
      <c r="T118" s="134"/>
      <c r="U118" s="134"/>
      <c r="V118" s="134"/>
      <c r="W118" s="134"/>
      <c r="X118" s="134"/>
    </row>
    <row r="119" spans="1:24" s="39" customFormat="1" ht="18.5" x14ac:dyDescent="0.45">
      <c r="A119" s="13"/>
      <c r="B119" s="130"/>
      <c r="C119" s="130"/>
      <c r="D119" s="130"/>
      <c r="E119" s="130"/>
      <c r="F119" s="131"/>
      <c r="G119" s="130"/>
      <c r="H119" s="130"/>
      <c r="I119" s="132"/>
      <c r="J119" s="132"/>
      <c r="K119" s="132"/>
      <c r="L119" s="132"/>
      <c r="M119" s="132"/>
      <c r="N119" s="134"/>
      <c r="O119" s="134"/>
      <c r="P119" s="134"/>
      <c r="Q119" s="134"/>
      <c r="R119" s="134"/>
      <c r="S119" s="134"/>
      <c r="T119" s="134"/>
      <c r="U119" s="134"/>
      <c r="V119" s="134"/>
      <c r="W119" s="134"/>
      <c r="X119" s="134"/>
    </row>
    <row r="120" spans="1:24" s="39" customFormat="1" ht="18.5" x14ac:dyDescent="0.45">
      <c r="A120" s="13"/>
      <c r="B120" s="130"/>
      <c r="C120" s="130"/>
      <c r="D120" s="130"/>
      <c r="E120" s="130"/>
      <c r="F120" s="131"/>
      <c r="G120" s="130"/>
      <c r="H120" s="130"/>
      <c r="I120" s="132"/>
      <c r="J120" s="132"/>
      <c r="K120" s="132"/>
      <c r="L120" s="132"/>
      <c r="M120" s="132"/>
      <c r="N120" s="134"/>
      <c r="O120" s="134"/>
      <c r="P120" s="134"/>
      <c r="Q120" s="134"/>
      <c r="R120" s="134"/>
      <c r="S120" s="134"/>
      <c r="T120" s="134"/>
      <c r="U120" s="134"/>
      <c r="V120" s="134"/>
      <c r="W120" s="134"/>
      <c r="X120" s="134"/>
    </row>
    <row r="121" spans="1:24" s="39" customFormat="1" ht="18.5" x14ac:dyDescent="0.45">
      <c r="A121" s="13"/>
      <c r="B121" s="130"/>
      <c r="C121" s="130"/>
      <c r="D121" s="135"/>
      <c r="E121" s="135"/>
      <c r="F121" s="140"/>
      <c r="G121" s="135"/>
      <c r="H121" s="135"/>
      <c r="I121" s="123"/>
      <c r="J121" s="123"/>
      <c r="K121" s="123"/>
      <c r="L121" s="123"/>
      <c r="M121" s="123"/>
      <c r="N121" s="134"/>
      <c r="O121" s="134"/>
      <c r="P121" s="134"/>
      <c r="Q121" s="134"/>
      <c r="R121" s="134"/>
      <c r="S121" s="134"/>
      <c r="T121" s="134"/>
      <c r="U121" s="134"/>
      <c r="V121" s="134"/>
      <c r="W121" s="134"/>
      <c r="X121" s="134"/>
    </row>
    <row r="122" spans="1:24" s="39" customFormat="1" ht="18.5" x14ac:dyDescent="0.45">
      <c r="A122" s="13"/>
      <c r="B122" s="130"/>
      <c r="C122" s="130"/>
      <c r="D122" s="130"/>
      <c r="E122" s="130"/>
      <c r="F122" s="130"/>
      <c r="G122" s="130"/>
      <c r="H122" s="130"/>
      <c r="I122" s="132"/>
      <c r="J122" s="132"/>
      <c r="K122" s="132"/>
      <c r="L122" s="132"/>
      <c r="M122" s="132"/>
      <c r="N122" s="134"/>
      <c r="O122" s="134"/>
      <c r="P122" s="134"/>
      <c r="Q122" s="134"/>
      <c r="R122" s="134"/>
      <c r="S122" s="134"/>
      <c r="T122" s="134"/>
      <c r="U122" s="134"/>
      <c r="V122" s="134"/>
      <c r="W122" s="134"/>
      <c r="X122" s="134"/>
    </row>
    <row r="123" spans="1:24" s="39" customFormat="1" ht="18.5" x14ac:dyDescent="0.45">
      <c r="A123" s="13"/>
      <c r="B123" s="130"/>
      <c r="C123" s="130"/>
      <c r="D123" s="130"/>
      <c r="E123" s="130"/>
      <c r="F123" s="130"/>
      <c r="G123" s="130"/>
      <c r="H123" s="130"/>
      <c r="I123" s="132"/>
      <c r="J123" s="132"/>
      <c r="K123" s="132"/>
      <c r="L123" s="132"/>
      <c r="M123" s="132"/>
      <c r="N123" s="134"/>
      <c r="O123" s="134"/>
      <c r="P123" s="134"/>
      <c r="Q123" s="134"/>
      <c r="R123" s="134"/>
      <c r="S123" s="134"/>
      <c r="T123" s="134"/>
      <c r="U123" s="134"/>
      <c r="V123" s="134"/>
      <c r="W123" s="134"/>
      <c r="X123" s="134"/>
    </row>
    <row r="124" spans="1:24" s="39" customFormat="1" ht="18.5" x14ac:dyDescent="0.45">
      <c r="A124" s="13"/>
      <c r="B124" s="130"/>
      <c r="C124" s="130"/>
      <c r="D124" s="130"/>
      <c r="E124" s="130"/>
      <c r="F124" s="131"/>
      <c r="G124" s="130"/>
      <c r="H124" s="130"/>
      <c r="I124" s="132"/>
      <c r="J124" s="132"/>
      <c r="K124" s="132"/>
      <c r="L124" s="132"/>
      <c r="M124" s="132"/>
      <c r="N124" s="134"/>
      <c r="O124" s="134"/>
      <c r="P124" s="134"/>
      <c r="Q124" s="134"/>
      <c r="R124" s="134"/>
      <c r="S124" s="134"/>
      <c r="T124" s="134"/>
      <c r="U124" s="134"/>
      <c r="V124" s="134"/>
      <c r="W124" s="134"/>
      <c r="X124" s="134"/>
    </row>
    <row r="125" spans="1:24" s="39" customFormat="1" ht="18.5" x14ac:dyDescent="0.45">
      <c r="A125" s="13"/>
      <c r="B125" s="130"/>
      <c r="C125" s="130"/>
      <c r="D125" s="130"/>
      <c r="E125" s="130"/>
      <c r="F125" s="131"/>
      <c r="G125" s="130"/>
      <c r="H125" s="130"/>
      <c r="I125" s="132"/>
      <c r="J125" s="132"/>
      <c r="K125" s="132"/>
      <c r="L125" s="132"/>
      <c r="M125" s="132"/>
      <c r="N125" s="134"/>
      <c r="O125" s="134"/>
      <c r="P125" s="134"/>
      <c r="Q125" s="134"/>
      <c r="R125" s="134"/>
      <c r="S125" s="134"/>
      <c r="T125" s="134"/>
      <c r="U125" s="134"/>
      <c r="V125" s="134"/>
      <c r="W125" s="134"/>
      <c r="X125" s="134"/>
    </row>
    <row r="126" spans="1:24" s="39" customFormat="1" ht="18.5" x14ac:dyDescent="0.45">
      <c r="A126" s="13"/>
      <c r="B126" s="130"/>
      <c r="C126" s="130"/>
      <c r="D126" s="130"/>
      <c r="E126" s="130"/>
      <c r="F126" s="140"/>
      <c r="G126" s="135"/>
      <c r="H126" s="135"/>
      <c r="I126" s="123"/>
      <c r="J126" s="123"/>
      <c r="K126" s="123"/>
      <c r="L126" s="123"/>
      <c r="M126" s="123"/>
      <c r="N126" s="134"/>
      <c r="O126" s="134"/>
      <c r="P126" s="134"/>
      <c r="Q126" s="134"/>
      <c r="R126" s="134"/>
      <c r="S126" s="134"/>
      <c r="T126" s="134"/>
      <c r="U126" s="134"/>
      <c r="V126" s="134"/>
      <c r="W126" s="134"/>
      <c r="X126" s="134"/>
    </row>
    <row r="127" spans="1:24" s="39" customFormat="1" ht="18.5" x14ac:dyDescent="0.45">
      <c r="A127" s="13"/>
      <c r="B127" s="130"/>
      <c r="C127" s="130"/>
      <c r="D127" s="130"/>
      <c r="E127" s="130"/>
      <c r="F127" s="131"/>
      <c r="G127" s="130"/>
      <c r="H127" s="130"/>
      <c r="I127" s="132"/>
      <c r="J127" s="132"/>
      <c r="K127" s="132"/>
      <c r="L127" s="132"/>
      <c r="M127" s="132"/>
      <c r="N127" s="134"/>
      <c r="O127" s="134"/>
      <c r="P127" s="134"/>
      <c r="Q127" s="134"/>
      <c r="R127" s="134"/>
      <c r="S127" s="134"/>
      <c r="T127" s="134"/>
      <c r="U127" s="134"/>
      <c r="V127" s="134"/>
      <c r="W127" s="134"/>
      <c r="X127" s="134"/>
    </row>
    <row r="128" spans="1:24" s="39" customFormat="1" ht="18.5" x14ac:dyDescent="0.45">
      <c r="A128" s="13"/>
      <c r="B128" s="130"/>
      <c r="C128" s="130"/>
      <c r="D128" s="130"/>
      <c r="E128" s="130"/>
      <c r="F128" s="130"/>
      <c r="G128" s="130"/>
      <c r="H128" s="130"/>
      <c r="I128" s="132"/>
      <c r="J128" s="132"/>
      <c r="K128" s="132"/>
      <c r="L128" s="132"/>
      <c r="M128" s="132"/>
      <c r="N128" s="134"/>
      <c r="O128" s="134"/>
      <c r="P128" s="134"/>
      <c r="Q128" s="134"/>
      <c r="R128" s="134"/>
      <c r="S128" s="134"/>
      <c r="T128" s="134"/>
      <c r="U128" s="134"/>
      <c r="V128" s="134"/>
      <c r="W128" s="134"/>
      <c r="X128" s="134"/>
    </row>
    <row r="129" spans="1:24" s="39" customFormat="1" ht="18.5" x14ac:dyDescent="0.45">
      <c r="A129" s="13"/>
      <c r="B129" s="130"/>
      <c r="C129" s="130"/>
      <c r="D129" s="130"/>
      <c r="E129" s="130"/>
      <c r="F129" s="130"/>
      <c r="G129" s="130"/>
      <c r="H129" s="130"/>
      <c r="I129" s="132"/>
      <c r="J129" s="132"/>
      <c r="K129" s="132"/>
      <c r="L129" s="132"/>
      <c r="M129" s="132"/>
      <c r="N129" s="134"/>
      <c r="O129" s="134"/>
      <c r="P129" s="134"/>
      <c r="Q129" s="134"/>
      <c r="R129" s="134"/>
      <c r="S129" s="134"/>
      <c r="T129" s="134"/>
      <c r="U129" s="134"/>
      <c r="V129" s="134"/>
      <c r="W129" s="134"/>
      <c r="X129" s="134"/>
    </row>
    <row r="130" spans="1:24" s="39" customFormat="1" ht="18.5" x14ac:dyDescent="0.45">
      <c r="A130" s="13"/>
      <c r="B130" s="130"/>
      <c r="C130" s="130"/>
      <c r="D130" s="130"/>
      <c r="E130" s="130"/>
      <c r="F130" s="130"/>
      <c r="G130" s="130"/>
      <c r="H130" s="130"/>
      <c r="I130" s="132"/>
      <c r="J130" s="132"/>
      <c r="K130" s="132"/>
      <c r="L130" s="132"/>
      <c r="M130" s="132"/>
      <c r="N130" s="134"/>
      <c r="O130" s="134"/>
      <c r="P130" s="134"/>
      <c r="Q130" s="134"/>
      <c r="R130" s="134"/>
      <c r="S130" s="134"/>
      <c r="T130" s="134"/>
      <c r="U130" s="134"/>
      <c r="V130" s="134"/>
      <c r="W130" s="134"/>
      <c r="X130" s="134"/>
    </row>
    <row r="131" spans="1:24" s="39" customFormat="1" ht="18.5" x14ac:dyDescent="0.45">
      <c r="A131" s="13"/>
      <c r="B131" s="130"/>
      <c r="C131" s="130"/>
      <c r="D131" s="130"/>
      <c r="E131" s="130"/>
      <c r="F131" s="130"/>
      <c r="G131" s="130"/>
      <c r="H131" s="130"/>
      <c r="I131" s="132"/>
      <c r="J131" s="132"/>
      <c r="K131" s="132"/>
      <c r="L131" s="132"/>
      <c r="M131" s="132"/>
      <c r="N131" s="134"/>
      <c r="O131" s="134"/>
      <c r="P131" s="134"/>
      <c r="Q131" s="134"/>
      <c r="R131" s="134"/>
      <c r="S131" s="134"/>
      <c r="T131" s="134"/>
      <c r="U131" s="134"/>
      <c r="V131" s="134"/>
      <c r="W131" s="134"/>
      <c r="X131" s="134"/>
    </row>
    <row r="132" spans="1:24" s="39" customFormat="1" ht="18.5" x14ac:dyDescent="0.45">
      <c r="A132" s="13"/>
      <c r="B132" s="13"/>
      <c r="C132" s="13"/>
      <c r="D132" s="13"/>
      <c r="E132" s="13"/>
      <c r="F132" s="13"/>
      <c r="G132" s="13"/>
      <c r="H132" s="13"/>
      <c r="I132" s="43"/>
      <c r="J132" s="43"/>
      <c r="K132" s="43"/>
      <c r="L132" s="43"/>
      <c r="M132" s="43"/>
    </row>
    <row r="133" spans="1:24" s="39" customFormat="1" ht="18.5" x14ac:dyDescent="0.45">
      <c r="A133" s="13"/>
      <c r="B133" s="13"/>
      <c r="C133" s="13"/>
      <c r="D133" s="13"/>
      <c r="E133" s="13"/>
      <c r="F133" s="13"/>
      <c r="G133" s="13"/>
      <c r="H133" s="13"/>
      <c r="I133" s="43"/>
      <c r="J133" s="43"/>
      <c r="K133" s="43"/>
      <c r="L133" s="43"/>
      <c r="M133" s="43"/>
    </row>
    <row r="134" spans="1:24" s="39" customFormat="1" ht="18.5" x14ac:dyDescent="0.45">
      <c r="A134" s="13"/>
      <c r="B134" s="13"/>
      <c r="C134" s="13"/>
      <c r="D134" s="13"/>
      <c r="E134" s="13"/>
      <c r="F134" s="13"/>
      <c r="G134" s="13"/>
      <c r="H134" s="13"/>
      <c r="I134" s="43"/>
      <c r="J134" s="43"/>
      <c r="K134" s="43"/>
      <c r="L134" s="43"/>
      <c r="M134" s="43"/>
    </row>
    <row r="135" spans="1:24" s="39" customFormat="1" ht="18.5" x14ac:dyDescent="0.45">
      <c r="A135" s="13"/>
      <c r="B135" s="13"/>
      <c r="C135" s="13"/>
      <c r="D135" s="13"/>
      <c r="E135" s="13"/>
      <c r="F135" s="13"/>
      <c r="G135" s="13"/>
      <c r="H135" s="13"/>
      <c r="I135" s="43"/>
      <c r="J135" s="43"/>
      <c r="K135" s="43"/>
      <c r="L135" s="43"/>
      <c r="M135" s="43"/>
    </row>
    <row r="136" spans="1:24" s="39" customFormat="1" ht="18.5" x14ac:dyDescent="0.45">
      <c r="A136" s="13"/>
      <c r="B136" s="13"/>
      <c r="C136" s="13"/>
      <c r="D136" s="13"/>
      <c r="E136" s="13"/>
      <c r="F136" s="13"/>
      <c r="G136" s="13"/>
      <c r="H136" s="13"/>
      <c r="I136" s="43"/>
      <c r="J136" s="43"/>
      <c r="K136" s="43"/>
      <c r="L136" s="43"/>
      <c r="M136" s="43"/>
    </row>
    <row r="137" spans="1:24" s="39" customFormat="1" ht="18.5" x14ac:dyDescent="0.45">
      <c r="A137" s="13"/>
      <c r="B137" s="13"/>
      <c r="C137" s="13"/>
      <c r="D137" s="13"/>
      <c r="E137" s="13"/>
      <c r="F137" s="13"/>
      <c r="G137" s="13"/>
      <c r="H137" s="13"/>
      <c r="I137" s="43"/>
      <c r="J137" s="43"/>
      <c r="K137" s="43"/>
      <c r="L137" s="43"/>
      <c r="M137" s="43"/>
    </row>
    <row r="138" spans="1:24" s="39" customFormat="1" ht="18.5" x14ac:dyDescent="0.45">
      <c r="A138" s="13"/>
      <c r="B138" s="13"/>
      <c r="C138" s="13"/>
      <c r="D138" s="13"/>
      <c r="E138" s="13"/>
      <c r="F138" s="13"/>
      <c r="G138" s="13"/>
      <c r="H138" s="13"/>
      <c r="I138" s="43"/>
      <c r="J138" s="43"/>
      <c r="K138" s="43"/>
      <c r="L138" s="43"/>
      <c r="M138" s="43"/>
    </row>
    <row r="139" spans="1:24" s="39" customFormat="1" ht="18.5" x14ac:dyDescent="0.45">
      <c r="A139" s="13"/>
      <c r="B139" s="13"/>
      <c r="C139" s="13"/>
      <c r="D139" s="13"/>
      <c r="E139" s="13"/>
      <c r="F139" s="13"/>
      <c r="G139" s="13"/>
      <c r="H139" s="13"/>
      <c r="I139" s="43"/>
      <c r="J139" s="43"/>
      <c r="K139" s="43"/>
      <c r="L139" s="43"/>
      <c r="M139" s="43"/>
    </row>
    <row r="140" spans="1:24" s="39" customFormat="1" ht="18.5" x14ac:dyDescent="0.45">
      <c r="A140" s="13"/>
      <c r="B140" s="13"/>
      <c r="C140" s="13"/>
      <c r="D140" s="13"/>
      <c r="E140" s="13"/>
      <c r="F140" s="13"/>
      <c r="G140" s="13"/>
      <c r="H140" s="13"/>
      <c r="I140" s="43"/>
      <c r="J140" s="43"/>
      <c r="K140" s="43"/>
      <c r="L140" s="43"/>
      <c r="M140" s="43"/>
    </row>
    <row r="141" spans="1:24" s="39" customFormat="1" ht="18.5" x14ac:dyDescent="0.45">
      <c r="A141" s="13"/>
      <c r="B141" s="13"/>
      <c r="C141" s="13"/>
      <c r="D141" s="13"/>
      <c r="E141" s="13"/>
      <c r="F141" s="13"/>
      <c r="G141" s="13"/>
      <c r="H141" s="13"/>
      <c r="I141" s="43"/>
      <c r="J141" s="43"/>
      <c r="K141" s="43"/>
      <c r="L141" s="43"/>
      <c r="M141" s="43"/>
    </row>
    <row r="142" spans="1:24" s="39" customFormat="1" ht="18.5" x14ac:dyDescent="0.45">
      <c r="A142" s="13"/>
      <c r="B142" s="13"/>
      <c r="C142" s="13"/>
      <c r="D142" s="13"/>
      <c r="E142" s="13"/>
      <c r="F142" s="13"/>
      <c r="G142" s="13"/>
      <c r="H142" s="13"/>
      <c r="I142" s="43"/>
      <c r="J142" s="43"/>
      <c r="K142" s="43"/>
      <c r="L142" s="43"/>
      <c r="M142" s="43"/>
    </row>
    <row r="143" spans="1:24" s="39" customFormat="1" ht="18.5" x14ac:dyDescent="0.45">
      <c r="A143" s="13"/>
      <c r="B143" s="13"/>
      <c r="C143" s="13"/>
      <c r="D143" s="13"/>
      <c r="E143" s="13"/>
      <c r="F143" s="13"/>
      <c r="G143" s="13"/>
      <c r="H143" s="13"/>
      <c r="I143" s="43"/>
      <c r="J143" s="43"/>
      <c r="K143" s="43"/>
      <c r="L143" s="43"/>
      <c r="M143" s="43"/>
    </row>
    <row r="144" spans="1:24" s="39" customFormat="1" ht="18.5" x14ac:dyDescent="0.45">
      <c r="A144" s="13"/>
      <c r="B144" s="13"/>
      <c r="C144" s="13"/>
      <c r="D144" s="13"/>
      <c r="E144" s="13"/>
      <c r="F144" s="13"/>
      <c r="G144" s="13"/>
      <c r="H144" s="13"/>
      <c r="I144" s="43"/>
      <c r="J144" s="43"/>
      <c r="K144" s="43"/>
      <c r="L144" s="43"/>
      <c r="M144" s="43"/>
    </row>
    <row r="145" spans="1:13" s="39" customFormat="1" ht="18.5" x14ac:dyDescent="0.45">
      <c r="A145" s="13"/>
      <c r="B145" s="13"/>
      <c r="C145" s="13"/>
      <c r="D145" s="13"/>
      <c r="E145" s="13"/>
      <c r="F145" s="13"/>
      <c r="G145" s="13"/>
      <c r="H145" s="13"/>
      <c r="I145" s="43"/>
      <c r="J145" s="43"/>
      <c r="K145" s="43"/>
      <c r="L145" s="43"/>
      <c r="M145" s="43"/>
    </row>
    <row r="146" spans="1:13" s="39" customFormat="1" ht="18.5" x14ac:dyDescent="0.45">
      <c r="A146" s="13"/>
      <c r="B146" s="13"/>
      <c r="C146" s="13"/>
      <c r="D146" s="13"/>
      <c r="E146" s="13"/>
      <c r="F146" s="13"/>
      <c r="G146" s="13"/>
      <c r="H146" s="13"/>
      <c r="I146" s="43"/>
      <c r="J146" s="43"/>
      <c r="K146" s="43"/>
      <c r="L146" s="43"/>
      <c r="M146" s="43"/>
    </row>
    <row r="147" spans="1:13" s="39" customFormat="1" ht="18.5" x14ac:dyDescent="0.45">
      <c r="A147" s="13"/>
      <c r="B147" s="13"/>
      <c r="C147" s="13"/>
      <c r="D147" s="13"/>
      <c r="E147" s="13"/>
      <c r="F147" s="13"/>
      <c r="G147" s="13"/>
      <c r="H147" s="13"/>
      <c r="I147" s="43"/>
      <c r="J147" s="43"/>
      <c r="K147" s="43"/>
      <c r="L147" s="43"/>
      <c r="M147" s="43"/>
    </row>
    <row r="148" spans="1:13" s="39" customFormat="1" ht="18.5" x14ac:dyDescent="0.45">
      <c r="A148" s="13"/>
      <c r="B148" s="13"/>
      <c r="C148" s="13"/>
      <c r="D148" s="13"/>
      <c r="E148" s="13"/>
      <c r="F148" s="13"/>
      <c r="G148" s="13"/>
      <c r="H148" s="13"/>
      <c r="I148" s="43"/>
      <c r="J148" s="43"/>
      <c r="K148" s="43"/>
      <c r="L148" s="43"/>
      <c r="M148" s="43"/>
    </row>
    <row r="149" spans="1:13" s="39" customFormat="1" ht="18.5" x14ac:dyDescent="0.45">
      <c r="A149" s="13"/>
      <c r="B149" s="13"/>
      <c r="C149" s="13"/>
      <c r="D149" s="13"/>
      <c r="E149" s="13"/>
      <c r="F149" s="13"/>
      <c r="G149" s="13"/>
      <c r="H149" s="13"/>
      <c r="I149" s="43"/>
      <c r="J149" s="43"/>
      <c r="K149" s="43"/>
      <c r="L149" s="43"/>
      <c r="M149" s="43"/>
    </row>
    <row r="150" spans="1:13" s="39" customFormat="1" ht="18.5" x14ac:dyDescent="0.45">
      <c r="A150" s="13"/>
      <c r="B150" s="13"/>
      <c r="C150" s="13"/>
      <c r="D150" s="13"/>
      <c r="E150" s="13"/>
      <c r="F150" s="13"/>
      <c r="G150" s="13"/>
      <c r="H150" s="13"/>
      <c r="I150" s="43"/>
      <c r="J150" s="43"/>
      <c r="K150" s="43"/>
      <c r="L150" s="43"/>
      <c r="M150" s="43"/>
    </row>
    <row r="151" spans="1:13" s="39" customFormat="1" ht="18.5" x14ac:dyDescent="0.45">
      <c r="A151" s="13"/>
      <c r="B151" s="13"/>
      <c r="C151" s="13"/>
      <c r="D151" s="13"/>
      <c r="E151" s="13"/>
      <c r="F151" s="13"/>
      <c r="G151" s="13"/>
      <c r="H151" s="13"/>
      <c r="I151" s="43"/>
      <c r="J151" s="43"/>
      <c r="K151" s="43"/>
      <c r="L151" s="43"/>
      <c r="M151" s="43"/>
    </row>
    <row r="152" spans="1:13" s="39" customFormat="1" ht="18.5" x14ac:dyDescent="0.45">
      <c r="A152" s="13"/>
      <c r="B152" s="13"/>
      <c r="C152" s="13"/>
      <c r="D152" s="13"/>
      <c r="E152" s="13"/>
      <c r="F152" s="13"/>
      <c r="G152" s="13"/>
      <c r="H152" s="13"/>
      <c r="I152" s="43"/>
      <c r="J152" s="43"/>
      <c r="K152" s="43"/>
      <c r="L152" s="43"/>
      <c r="M152" s="43"/>
    </row>
    <row r="153" spans="1:13" s="39" customFormat="1" ht="18.5" x14ac:dyDescent="0.45">
      <c r="A153" s="13"/>
      <c r="B153" s="13"/>
      <c r="C153" s="13"/>
      <c r="D153" s="13"/>
      <c r="E153" s="13"/>
      <c r="F153" s="13"/>
      <c r="G153" s="13"/>
      <c r="H153" s="13"/>
      <c r="I153" s="43"/>
      <c r="J153" s="43"/>
      <c r="K153" s="43"/>
      <c r="L153" s="43"/>
      <c r="M153" s="43"/>
    </row>
    <row r="154" spans="1:13" s="39" customFormat="1" ht="18.5" x14ac:dyDescent="0.45">
      <c r="A154" s="13"/>
      <c r="B154" s="13"/>
      <c r="C154" s="13"/>
      <c r="D154" s="13"/>
      <c r="E154" s="13"/>
      <c r="F154" s="13"/>
      <c r="G154" s="13"/>
      <c r="H154" s="13"/>
      <c r="I154" s="43"/>
      <c r="J154" s="43"/>
      <c r="K154" s="43"/>
      <c r="L154" s="43"/>
      <c r="M154" s="43"/>
    </row>
    <row r="155" spans="1:13" s="39" customFormat="1" ht="18.5" x14ac:dyDescent="0.45">
      <c r="A155" s="13"/>
      <c r="B155" s="13"/>
      <c r="C155" s="13"/>
      <c r="D155" s="13"/>
      <c r="E155" s="13"/>
      <c r="F155" s="13"/>
      <c r="G155" s="13"/>
      <c r="H155" s="13"/>
      <c r="I155" s="43"/>
      <c r="J155" s="43"/>
      <c r="K155" s="43"/>
      <c r="L155" s="43"/>
      <c r="M155" s="43"/>
    </row>
    <row r="156" spans="1:13" s="39" customFormat="1" ht="18.5" x14ac:dyDescent="0.45">
      <c r="A156" s="13"/>
      <c r="B156" s="13"/>
      <c r="C156" s="13"/>
      <c r="D156" s="13"/>
      <c r="E156" s="13"/>
      <c r="F156" s="13"/>
      <c r="G156" s="13"/>
      <c r="H156" s="13"/>
      <c r="I156" s="43"/>
      <c r="J156" s="43"/>
      <c r="K156" s="43"/>
      <c r="L156" s="43"/>
      <c r="M156" s="43"/>
    </row>
    <row r="157" spans="1:13" s="39" customFormat="1" ht="18.5" x14ac:dyDescent="0.45">
      <c r="A157" s="13"/>
      <c r="B157" s="13"/>
      <c r="C157" s="13"/>
      <c r="D157" s="13"/>
      <c r="E157" s="13"/>
      <c r="F157" s="13"/>
      <c r="G157" s="13"/>
      <c r="H157" s="13"/>
      <c r="I157" s="43"/>
      <c r="J157" s="43"/>
      <c r="K157" s="43"/>
      <c r="L157" s="43"/>
      <c r="M157" s="43"/>
    </row>
    <row r="158" spans="1:13" s="39" customFormat="1" ht="18.5" x14ac:dyDescent="0.45">
      <c r="A158" s="13"/>
      <c r="B158" s="13"/>
      <c r="C158" s="13"/>
      <c r="D158" s="13"/>
      <c r="E158" s="13"/>
      <c r="F158" s="13"/>
      <c r="G158" s="13"/>
      <c r="H158" s="13"/>
      <c r="I158" s="43"/>
      <c r="J158" s="43"/>
      <c r="K158" s="43"/>
      <c r="L158" s="43"/>
      <c r="M158" s="43"/>
    </row>
    <row r="159" spans="1:13" s="39" customFormat="1" ht="18.5" x14ac:dyDescent="0.45">
      <c r="A159" s="13"/>
      <c r="B159" s="13"/>
      <c r="C159" s="13"/>
      <c r="D159" s="13"/>
      <c r="E159" s="13"/>
      <c r="F159" s="13"/>
      <c r="G159" s="13"/>
      <c r="H159" s="13"/>
      <c r="I159" s="43"/>
      <c r="J159" s="43"/>
      <c r="K159" s="43"/>
      <c r="L159" s="43"/>
      <c r="M159" s="43"/>
    </row>
    <row r="160" spans="1:13" s="39" customFormat="1" ht="18.5" x14ac:dyDescent="0.45">
      <c r="A160" s="13"/>
      <c r="B160" s="13"/>
      <c r="C160" s="13"/>
      <c r="D160" s="13"/>
      <c r="E160" s="13"/>
      <c r="F160" s="13"/>
      <c r="G160" s="13"/>
      <c r="H160" s="13"/>
      <c r="I160" s="43"/>
      <c r="J160" s="43"/>
      <c r="K160" s="43"/>
      <c r="L160" s="43"/>
      <c r="M160" s="43"/>
    </row>
    <row r="161" spans="1:13" s="39" customFormat="1" ht="18.5" x14ac:dyDescent="0.45">
      <c r="A161" s="13"/>
      <c r="B161" s="13"/>
      <c r="C161" s="13"/>
      <c r="D161" s="13"/>
      <c r="E161" s="13"/>
      <c r="F161" s="13"/>
      <c r="G161" s="13"/>
      <c r="H161" s="13"/>
      <c r="I161" s="43"/>
      <c r="J161" s="43"/>
      <c r="K161" s="43"/>
      <c r="L161" s="43"/>
      <c r="M161" s="43"/>
    </row>
    <row r="162" spans="1:13" s="39" customFormat="1" ht="18.5" x14ac:dyDescent="0.45">
      <c r="A162" s="13"/>
      <c r="B162" s="13"/>
      <c r="C162" s="13"/>
      <c r="D162" s="13"/>
      <c r="E162" s="13"/>
      <c r="F162" s="13"/>
      <c r="G162" s="13"/>
      <c r="H162" s="13"/>
      <c r="I162" s="43"/>
      <c r="J162" s="43"/>
      <c r="K162" s="43"/>
      <c r="L162" s="43"/>
      <c r="M162" s="43"/>
    </row>
    <row r="163" spans="1:13" s="39" customFormat="1" ht="18.5" x14ac:dyDescent="0.45">
      <c r="A163" s="13"/>
      <c r="B163" s="13"/>
      <c r="C163" s="13"/>
      <c r="D163" s="13"/>
      <c r="E163" s="13"/>
      <c r="F163" s="13"/>
      <c r="G163" s="13"/>
      <c r="H163" s="13"/>
      <c r="I163" s="43"/>
      <c r="J163" s="43"/>
      <c r="K163" s="43"/>
      <c r="L163" s="43"/>
      <c r="M163" s="43"/>
    </row>
    <row r="164" spans="1:13" s="39" customFormat="1" ht="18.5" x14ac:dyDescent="0.45">
      <c r="A164" s="13"/>
      <c r="B164" s="13"/>
      <c r="C164" s="13"/>
      <c r="D164" s="13"/>
      <c r="E164" s="13"/>
      <c r="F164" s="13"/>
      <c r="G164" s="13"/>
      <c r="H164" s="13"/>
      <c r="I164" s="43"/>
      <c r="J164" s="43"/>
      <c r="K164" s="43"/>
      <c r="L164" s="43"/>
      <c r="M164" s="43"/>
    </row>
    <row r="165" spans="1:13" s="39" customFormat="1" ht="18.5" x14ac:dyDescent="0.45">
      <c r="A165" s="13"/>
      <c r="B165" s="13"/>
      <c r="C165" s="13"/>
      <c r="D165" s="13"/>
      <c r="E165" s="13"/>
      <c r="F165" s="13"/>
      <c r="G165" s="13"/>
      <c r="H165" s="13"/>
      <c r="I165" s="43"/>
      <c r="J165" s="43"/>
      <c r="K165" s="43"/>
      <c r="L165" s="43"/>
      <c r="M165" s="43"/>
    </row>
    <row r="166" spans="1:13" s="39" customFormat="1" ht="18.5" x14ac:dyDescent="0.45">
      <c r="A166" s="13"/>
      <c r="B166" s="13"/>
      <c r="C166" s="13"/>
      <c r="D166" s="13"/>
      <c r="E166" s="13"/>
      <c r="F166" s="13"/>
      <c r="G166" s="13"/>
      <c r="H166" s="13"/>
      <c r="I166" s="43"/>
      <c r="J166" s="43"/>
      <c r="K166" s="43"/>
      <c r="L166" s="43"/>
      <c r="M166" s="43"/>
    </row>
    <row r="167" spans="1:13" s="39" customFormat="1" ht="18.5" x14ac:dyDescent="0.45">
      <c r="A167" s="13"/>
      <c r="B167" s="13"/>
      <c r="C167" s="13"/>
      <c r="D167" s="13"/>
      <c r="E167" s="13"/>
      <c r="F167" s="13"/>
      <c r="G167" s="13"/>
      <c r="H167" s="13"/>
      <c r="I167" s="43"/>
      <c r="J167" s="43"/>
      <c r="K167" s="43"/>
      <c r="L167" s="43"/>
      <c r="M167" s="43"/>
    </row>
    <row r="168" spans="1:13" s="39" customFormat="1" ht="18.5" x14ac:dyDescent="0.45">
      <c r="A168" s="13"/>
      <c r="B168" s="13"/>
      <c r="C168" s="13"/>
      <c r="D168" s="13"/>
      <c r="E168" s="13"/>
      <c r="F168" s="13"/>
      <c r="G168" s="13"/>
      <c r="H168" s="13"/>
      <c r="I168" s="43"/>
      <c r="J168" s="43"/>
      <c r="K168" s="43"/>
      <c r="L168" s="43"/>
      <c r="M168" s="43"/>
    </row>
    <row r="169" spans="1:13" s="39" customFormat="1" ht="18.5" x14ac:dyDescent="0.45">
      <c r="A169" s="13"/>
      <c r="B169" s="13"/>
      <c r="C169" s="13"/>
      <c r="D169" s="13"/>
      <c r="E169" s="13"/>
      <c r="F169" s="13"/>
      <c r="G169" s="13"/>
      <c r="H169" s="13"/>
      <c r="I169" s="43"/>
      <c r="J169" s="43"/>
      <c r="K169" s="43"/>
      <c r="L169" s="43"/>
      <c r="M169" s="43"/>
    </row>
    <row r="170" spans="1:13" s="39" customFormat="1" ht="18.5" x14ac:dyDescent="0.45">
      <c r="A170" s="13"/>
      <c r="B170" s="13"/>
      <c r="C170" s="13"/>
      <c r="D170" s="13"/>
      <c r="E170" s="13"/>
      <c r="F170" s="13"/>
      <c r="G170" s="13"/>
      <c r="H170" s="13"/>
      <c r="I170" s="43"/>
      <c r="J170" s="43"/>
      <c r="K170" s="43"/>
      <c r="L170" s="43"/>
      <c r="M170" s="43"/>
    </row>
    <row r="171" spans="1:13" s="39" customFormat="1" ht="18.5" x14ac:dyDescent="0.45">
      <c r="A171" s="13"/>
      <c r="B171" s="13"/>
      <c r="C171" s="13"/>
      <c r="D171" s="13"/>
      <c r="E171" s="13"/>
      <c r="F171" s="13"/>
      <c r="G171" s="13"/>
      <c r="H171" s="13"/>
      <c r="I171" s="43"/>
      <c r="J171" s="43"/>
      <c r="K171" s="43"/>
      <c r="L171" s="43"/>
      <c r="M171" s="43"/>
    </row>
    <row r="172" spans="1:13" s="39" customFormat="1" ht="18.5" x14ac:dyDescent="0.45">
      <c r="A172" s="13"/>
      <c r="B172" s="13"/>
      <c r="C172" s="13"/>
      <c r="D172" s="13"/>
      <c r="E172" s="13"/>
      <c r="F172" s="13"/>
      <c r="G172" s="13"/>
      <c r="H172" s="13"/>
      <c r="I172" s="43"/>
      <c r="J172" s="43"/>
      <c r="K172" s="43"/>
      <c r="L172" s="43"/>
      <c r="M172" s="43"/>
    </row>
    <row r="173" spans="1:13" s="39" customFormat="1" ht="18.5" x14ac:dyDescent="0.45">
      <c r="A173" s="13"/>
      <c r="B173" s="13"/>
      <c r="C173" s="13"/>
      <c r="D173" s="13"/>
      <c r="E173" s="13"/>
      <c r="F173" s="13"/>
      <c r="G173" s="13"/>
      <c r="H173" s="13"/>
      <c r="I173" s="43"/>
      <c r="J173" s="43"/>
      <c r="K173" s="43"/>
      <c r="L173" s="43"/>
      <c r="M173" s="43"/>
    </row>
    <row r="174" spans="1:13" s="39" customFormat="1" ht="18.5" x14ac:dyDescent="0.45">
      <c r="A174" s="13"/>
      <c r="B174" s="13"/>
      <c r="C174" s="13"/>
      <c r="D174" s="13"/>
      <c r="E174" s="13"/>
      <c r="F174" s="13"/>
      <c r="G174" s="13"/>
      <c r="H174" s="13"/>
      <c r="I174" s="43"/>
      <c r="J174" s="43"/>
      <c r="K174" s="43"/>
      <c r="L174" s="43"/>
      <c r="M174" s="43"/>
    </row>
    <row r="175" spans="1:13" s="39" customFormat="1" ht="18.5" x14ac:dyDescent="0.45">
      <c r="A175" s="13"/>
      <c r="B175" s="13"/>
      <c r="C175" s="13"/>
      <c r="D175" s="13"/>
      <c r="E175" s="13"/>
      <c r="F175" s="13"/>
      <c r="G175" s="13"/>
      <c r="H175" s="13"/>
      <c r="I175" s="43"/>
      <c r="J175" s="43"/>
      <c r="K175" s="43"/>
      <c r="L175" s="43"/>
      <c r="M175" s="43"/>
    </row>
    <row r="176" spans="1:13" s="39" customFormat="1" ht="18.5" x14ac:dyDescent="0.45">
      <c r="A176" s="13"/>
      <c r="B176" s="13"/>
      <c r="C176" s="13"/>
      <c r="D176" s="13"/>
      <c r="E176" s="13"/>
      <c r="F176" s="13"/>
      <c r="G176" s="13"/>
      <c r="H176" s="13"/>
      <c r="I176" s="43"/>
      <c r="J176" s="43"/>
      <c r="K176" s="43"/>
      <c r="L176" s="43"/>
      <c r="M176" s="43"/>
    </row>
    <row r="177" spans="1:13" s="39" customFormat="1" ht="18.5" x14ac:dyDescent="0.45">
      <c r="A177" s="13"/>
      <c r="B177" s="13"/>
      <c r="C177" s="13"/>
      <c r="D177" s="13"/>
      <c r="E177" s="13"/>
      <c r="F177" s="13"/>
      <c r="G177" s="13"/>
      <c r="H177" s="13"/>
      <c r="I177" s="43"/>
      <c r="J177" s="43"/>
      <c r="K177" s="43"/>
      <c r="L177" s="43"/>
      <c r="M177" s="43"/>
    </row>
    <row r="178" spans="1:13" s="39" customFormat="1" ht="18.5" x14ac:dyDescent="0.45">
      <c r="A178" s="13"/>
      <c r="B178" s="13"/>
      <c r="C178" s="13"/>
      <c r="D178" s="13"/>
      <c r="E178" s="13"/>
      <c r="F178" s="13"/>
      <c r="G178" s="13"/>
      <c r="H178" s="13"/>
      <c r="I178" s="43"/>
      <c r="J178" s="43"/>
      <c r="K178" s="43"/>
      <c r="L178" s="43"/>
      <c r="M178" s="43"/>
    </row>
    <row r="179" spans="1:13" s="39" customFormat="1" ht="18.5" x14ac:dyDescent="0.45">
      <c r="A179" s="13"/>
      <c r="B179" s="13"/>
      <c r="C179" s="13"/>
      <c r="D179" s="13"/>
      <c r="E179" s="13"/>
      <c r="F179" s="13"/>
      <c r="G179" s="13"/>
      <c r="H179" s="13"/>
      <c r="I179" s="43"/>
      <c r="J179" s="43"/>
      <c r="K179" s="43"/>
      <c r="L179" s="43"/>
      <c r="M179" s="43"/>
    </row>
    <row r="180" spans="1:13" s="39" customFormat="1" ht="18.5" x14ac:dyDescent="0.45">
      <c r="A180" s="13"/>
      <c r="B180" s="13"/>
      <c r="C180" s="13"/>
      <c r="D180" s="13"/>
      <c r="E180" s="13"/>
      <c r="F180" s="13"/>
      <c r="G180" s="13"/>
      <c r="H180" s="13"/>
      <c r="I180" s="43"/>
      <c r="J180" s="43"/>
      <c r="K180" s="43"/>
      <c r="L180" s="43"/>
      <c r="M180" s="43"/>
    </row>
    <row r="181" spans="1:13" s="39" customFormat="1" ht="18.5" x14ac:dyDescent="0.45">
      <c r="A181" s="13"/>
      <c r="B181" s="13"/>
      <c r="C181" s="13"/>
      <c r="D181" s="13"/>
      <c r="E181" s="13"/>
      <c r="F181" s="13"/>
      <c r="G181" s="13"/>
      <c r="H181" s="13"/>
      <c r="I181" s="43"/>
      <c r="J181" s="43"/>
      <c r="K181" s="43"/>
      <c r="L181" s="43"/>
      <c r="M181" s="43"/>
    </row>
    <row r="182" spans="1:13" s="39" customFormat="1" ht="18.5" x14ac:dyDescent="0.45">
      <c r="A182" s="13"/>
      <c r="B182" s="13"/>
      <c r="C182" s="13"/>
      <c r="D182" s="13"/>
      <c r="E182" s="13"/>
      <c r="F182" s="13"/>
      <c r="G182" s="13"/>
      <c r="H182" s="13"/>
      <c r="I182" s="43"/>
      <c r="J182" s="43"/>
      <c r="K182" s="43"/>
      <c r="L182" s="43"/>
      <c r="M182" s="43"/>
    </row>
    <row r="183" spans="1:13" s="39" customFormat="1" ht="18.5" x14ac:dyDescent="0.45">
      <c r="A183" s="13"/>
      <c r="B183" s="13"/>
      <c r="C183" s="13"/>
      <c r="D183" s="13"/>
      <c r="E183" s="13"/>
      <c r="F183" s="13"/>
      <c r="G183" s="13"/>
      <c r="H183" s="13"/>
      <c r="I183" s="43"/>
      <c r="J183" s="43"/>
      <c r="K183" s="43"/>
      <c r="L183" s="43"/>
      <c r="M183" s="43"/>
    </row>
    <row r="184" spans="1:13" s="39" customFormat="1" ht="18.5" x14ac:dyDescent="0.45">
      <c r="A184" s="13"/>
      <c r="B184" s="13"/>
      <c r="C184" s="13"/>
      <c r="D184" s="13"/>
      <c r="E184" s="13"/>
      <c r="F184" s="13"/>
      <c r="G184" s="13"/>
      <c r="H184" s="13"/>
      <c r="I184" s="43"/>
      <c r="J184" s="43"/>
      <c r="K184" s="43"/>
      <c r="L184" s="43"/>
      <c r="M184" s="43"/>
    </row>
    <row r="185" spans="1:13" s="39" customFormat="1" ht="18.5" x14ac:dyDescent="0.45">
      <c r="A185" s="13"/>
      <c r="B185" s="13"/>
      <c r="C185" s="13"/>
      <c r="D185" s="13"/>
      <c r="E185" s="13"/>
      <c r="F185" s="13"/>
      <c r="G185" s="13"/>
      <c r="H185" s="13"/>
      <c r="I185" s="43"/>
      <c r="J185" s="43"/>
      <c r="K185" s="43"/>
      <c r="L185" s="43"/>
      <c r="M185" s="43"/>
    </row>
    <row r="186" spans="1:13" s="39" customFormat="1" ht="18.5" x14ac:dyDescent="0.45">
      <c r="A186" s="13"/>
      <c r="B186" s="13"/>
      <c r="C186" s="13"/>
      <c r="D186" s="13"/>
      <c r="E186" s="13"/>
      <c r="F186" s="13"/>
      <c r="G186" s="13"/>
      <c r="H186" s="13"/>
      <c r="I186" s="43"/>
      <c r="J186" s="43"/>
      <c r="K186" s="43"/>
      <c r="L186" s="43"/>
      <c r="M186" s="43"/>
    </row>
    <row r="187" spans="1:13" s="39" customFormat="1" ht="18.5" x14ac:dyDescent="0.45">
      <c r="A187" s="13"/>
      <c r="B187" s="13"/>
      <c r="C187" s="13"/>
      <c r="D187" s="13"/>
      <c r="E187" s="13"/>
      <c r="F187" s="13"/>
      <c r="G187" s="13"/>
      <c r="H187" s="13"/>
      <c r="I187" s="43"/>
      <c r="J187" s="43"/>
      <c r="K187" s="43"/>
      <c r="L187" s="43"/>
      <c r="M187" s="43"/>
    </row>
    <row r="188" spans="1:13" s="39" customFormat="1" ht="18.5" x14ac:dyDescent="0.45">
      <c r="A188" s="13"/>
      <c r="B188" s="13"/>
      <c r="C188" s="13"/>
      <c r="D188" s="13"/>
      <c r="E188" s="13"/>
      <c r="F188" s="13"/>
      <c r="G188" s="13"/>
      <c r="H188" s="13"/>
      <c r="I188" s="43"/>
      <c r="J188" s="43"/>
      <c r="K188" s="43"/>
      <c r="L188" s="43"/>
      <c r="M188" s="43"/>
    </row>
    <row r="189" spans="1:13" s="39" customFormat="1" ht="18.5" x14ac:dyDescent="0.45">
      <c r="A189" s="13"/>
      <c r="B189" s="13"/>
      <c r="C189" s="13"/>
      <c r="D189" s="13"/>
      <c r="E189" s="13"/>
      <c r="F189" s="13"/>
      <c r="G189" s="13"/>
      <c r="H189" s="13"/>
      <c r="I189" s="43"/>
      <c r="J189" s="43"/>
      <c r="K189" s="43"/>
      <c r="L189" s="43"/>
      <c r="M189" s="43"/>
    </row>
    <row r="190" spans="1:13" s="39" customFormat="1" ht="18.5" x14ac:dyDescent="0.45">
      <c r="A190" s="13"/>
      <c r="B190" s="13"/>
      <c r="C190" s="13"/>
      <c r="D190" s="13"/>
      <c r="E190" s="13"/>
      <c r="F190" s="13"/>
      <c r="G190" s="13"/>
      <c r="H190" s="13"/>
      <c r="I190" s="43"/>
      <c r="J190" s="43"/>
      <c r="K190" s="43"/>
      <c r="L190" s="43"/>
      <c r="M190" s="43"/>
    </row>
    <row r="191" spans="1:13" s="39" customFormat="1" ht="18.5" x14ac:dyDescent="0.45">
      <c r="A191" s="13"/>
      <c r="B191" s="13"/>
      <c r="C191" s="13"/>
      <c r="D191" s="13"/>
      <c r="E191" s="13"/>
      <c r="F191" s="13"/>
      <c r="G191" s="13"/>
      <c r="H191" s="13"/>
      <c r="I191" s="43"/>
      <c r="J191" s="43"/>
      <c r="K191" s="43"/>
      <c r="L191" s="43"/>
      <c r="M191" s="43"/>
    </row>
    <row r="192" spans="1:13" s="39" customFormat="1" ht="18.5" x14ac:dyDescent="0.45">
      <c r="A192" s="13"/>
      <c r="B192" s="13"/>
      <c r="C192" s="13"/>
      <c r="D192" s="13"/>
      <c r="E192" s="13"/>
      <c r="F192" s="13"/>
      <c r="G192" s="13"/>
      <c r="H192" s="13"/>
      <c r="I192" s="43"/>
      <c r="J192" s="43"/>
      <c r="K192" s="43"/>
      <c r="L192" s="43"/>
      <c r="M192" s="43"/>
    </row>
    <row r="193" spans="1:13" s="39" customFormat="1" ht="18.5" x14ac:dyDescent="0.45">
      <c r="A193" s="13"/>
      <c r="B193" s="13"/>
      <c r="C193" s="13"/>
      <c r="D193" s="13"/>
      <c r="E193" s="13"/>
      <c r="F193" s="13"/>
      <c r="G193" s="13"/>
      <c r="H193" s="13"/>
      <c r="I193" s="43"/>
      <c r="J193" s="43"/>
      <c r="K193" s="43"/>
      <c r="L193" s="43"/>
      <c r="M193" s="43"/>
    </row>
    <row r="194" spans="1:13" s="39" customFormat="1" ht="18.5" x14ac:dyDescent="0.45">
      <c r="A194" s="13"/>
      <c r="B194" s="13"/>
      <c r="C194" s="13"/>
      <c r="D194" s="13"/>
      <c r="E194" s="13"/>
      <c r="F194" s="13"/>
      <c r="G194" s="13"/>
      <c r="H194" s="13"/>
      <c r="I194" s="43"/>
      <c r="J194" s="43"/>
      <c r="K194" s="43"/>
      <c r="L194" s="43"/>
      <c r="M194" s="43"/>
    </row>
    <row r="195" spans="1:13" s="39" customFormat="1" ht="18.5" x14ac:dyDescent="0.45">
      <c r="A195" s="13"/>
      <c r="B195" s="13"/>
      <c r="C195" s="13"/>
      <c r="D195" s="13"/>
      <c r="E195" s="13"/>
      <c r="F195" s="13"/>
      <c r="G195" s="13"/>
      <c r="H195" s="13"/>
      <c r="I195" s="43"/>
      <c r="J195" s="43"/>
      <c r="K195" s="43"/>
      <c r="L195" s="43"/>
      <c r="M195" s="43"/>
    </row>
    <row r="196" spans="1:13" s="39" customFormat="1" ht="18.5" x14ac:dyDescent="0.45">
      <c r="A196" s="13"/>
      <c r="B196" s="13"/>
      <c r="C196" s="13"/>
      <c r="D196" s="13"/>
      <c r="E196" s="13"/>
      <c r="F196" s="13"/>
      <c r="G196" s="13"/>
      <c r="H196" s="13"/>
      <c r="I196" s="43"/>
      <c r="J196" s="43"/>
      <c r="K196" s="43"/>
      <c r="L196" s="43"/>
      <c r="M196" s="43"/>
    </row>
    <row r="197" spans="1:13" s="39" customFormat="1" ht="18.5" x14ac:dyDescent="0.45">
      <c r="A197" s="13"/>
      <c r="B197" s="13"/>
      <c r="C197" s="13"/>
      <c r="D197" s="13"/>
      <c r="E197" s="13"/>
      <c r="F197" s="13"/>
      <c r="G197" s="13"/>
      <c r="H197" s="13"/>
      <c r="I197" s="43"/>
      <c r="J197" s="43"/>
      <c r="K197" s="43"/>
      <c r="L197" s="43"/>
      <c r="M197" s="43"/>
    </row>
    <row r="198" spans="1:13" s="39" customFormat="1" ht="18.5" x14ac:dyDescent="0.45">
      <c r="A198" s="13"/>
      <c r="B198" s="13"/>
      <c r="C198" s="13"/>
      <c r="D198" s="13"/>
      <c r="E198" s="13"/>
      <c r="F198" s="13"/>
      <c r="G198" s="13"/>
      <c r="H198" s="13"/>
      <c r="I198" s="43"/>
      <c r="J198" s="43"/>
      <c r="K198" s="43"/>
      <c r="L198" s="43"/>
      <c r="M198" s="43"/>
    </row>
    <row r="199" spans="1:13" s="39" customFormat="1" ht="18.5" x14ac:dyDescent="0.45">
      <c r="A199" s="13"/>
      <c r="B199" s="13"/>
      <c r="C199" s="13"/>
      <c r="D199" s="13"/>
      <c r="E199" s="13"/>
      <c r="F199" s="13"/>
      <c r="G199" s="13"/>
      <c r="H199" s="13"/>
      <c r="I199" s="43"/>
      <c r="J199" s="43"/>
      <c r="K199" s="43"/>
      <c r="L199" s="43"/>
      <c r="M199" s="43"/>
    </row>
    <row r="200" spans="1:13" s="39" customFormat="1" ht="18.5" x14ac:dyDescent="0.45">
      <c r="A200" s="13"/>
      <c r="B200" s="13"/>
      <c r="C200" s="13"/>
      <c r="D200" s="13"/>
      <c r="E200" s="13"/>
      <c r="F200" s="13"/>
      <c r="G200" s="13"/>
      <c r="H200" s="13"/>
      <c r="I200" s="43"/>
      <c r="J200" s="43"/>
      <c r="K200" s="43"/>
      <c r="L200" s="43"/>
      <c r="M200" s="43"/>
    </row>
    <row r="201" spans="1:13" s="39" customFormat="1" ht="18.5" x14ac:dyDescent="0.45">
      <c r="A201" s="13"/>
      <c r="B201" s="13"/>
      <c r="C201" s="13"/>
      <c r="D201" s="13"/>
      <c r="E201" s="13"/>
      <c r="F201" s="13"/>
      <c r="G201" s="13"/>
      <c r="H201" s="13"/>
      <c r="I201" s="43"/>
      <c r="J201" s="43"/>
      <c r="K201" s="43"/>
      <c r="L201" s="43"/>
      <c r="M201" s="43"/>
    </row>
    <row r="202" spans="1:13" s="39" customFormat="1" ht="18.5" x14ac:dyDescent="0.45">
      <c r="A202" s="13"/>
      <c r="B202" s="13"/>
      <c r="C202" s="13"/>
      <c r="D202" s="13"/>
      <c r="E202" s="13"/>
      <c r="F202" s="13"/>
      <c r="G202" s="13"/>
      <c r="H202" s="13"/>
      <c r="I202" s="43"/>
      <c r="J202" s="43"/>
      <c r="K202" s="43"/>
      <c r="L202" s="43"/>
      <c r="M202" s="43"/>
    </row>
    <row r="203" spans="1:13" s="39" customFormat="1" ht="18.5" x14ac:dyDescent="0.45">
      <c r="A203" s="13"/>
      <c r="B203" s="13"/>
      <c r="C203" s="13"/>
      <c r="D203" s="13"/>
      <c r="E203" s="13"/>
      <c r="F203" s="13"/>
      <c r="G203" s="13"/>
      <c r="H203" s="13"/>
      <c r="I203" s="43"/>
      <c r="J203" s="43"/>
      <c r="K203" s="43"/>
      <c r="L203" s="43"/>
      <c r="M203" s="43"/>
    </row>
    <row r="204" spans="1:13" s="39" customFormat="1" ht="18.5" x14ac:dyDescent="0.45">
      <c r="A204" s="13"/>
      <c r="B204" s="13"/>
      <c r="C204" s="13"/>
      <c r="D204" s="13"/>
      <c r="E204" s="13"/>
      <c r="F204" s="13"/>
      <c r="G204" s="13"/>
      <c r="H204" s="13"/>
      <c r="I204" s="43"/>
      <c r="J204" s="43"/>
      <c r="K204" s="43"/>
      <c r="L204" s="43"/>
      <c r="M204" s="43"/>
    </row>
    <row r="205" spans="1:13" s="39" customFormat="1" ht="18.5" x14ac:dyDescent="0.45">
      <c r="A205" s="13"/>
      <c r="B205" s="13"/>
      <c r="C205" s="13"/>
      <c r="D205" s="13"/>
      <c r="E205" s="13"/>
      <c r="F205" s="13"/>
      <c r="G205" s="13"/>
      <c r="H205" s="13"/>
      <c r="I205" s="43"/>
      <c r="J205" s="43"/>
      <c r="K205" s="43"/>
      <c r="L205" s="43"/>
      <c r="M205" s="43"/>
    </row>
    <row r="206" spans="1:13" s="39" customFormat="1" ht="18.5" x14ac:dyDescent="0.45">
      <c r="A206" s="13"/>
      <c r="B206" s="13"/>
      <c r="C206" s="13"/>
      <c r="D206" s="13"/>
      <c r="E206" s="13"/>
      <c r="F206" s="13"/>
      <c r="G206" s="13"/>
      <c r="H206" s="13"/>
      <c r="I206" s="43"/>
      <c r="J206" s="43"/>
      <c r="K206" s="43"/>
      <c r="L206" s="43"/>
      <c r="M206" s="43"/>
    </row>
    <row r="207" spans="1:13" s="39" customFormat="1" ht="18.5" x14ac:dyDescent="0.45">
      <c r="A207" s="13"/>
      <c r="B207" s="13"/>
      <c r="C207" s="13"/>
      <c r="D207" s="13"/>
      <c r="E207" s="13"/>
      <c r="F207" s="13"/>
      <c r="G207" s="13"/>
      <c r="H207" s="13"/>
      <c r="I207" s="43"/>
      <c r="J207" s="43"/>
      <c r="K207" s="43"/>
      <c r="L207" s="43"/>
      <c r="M207" s="43"/>
    </row>
    <row r="208" spans="1:13" s="39" customFormat="1" ht="18.5" x14ac:dyDescent="0.45">
      <c r="A208" s="13"/>
      <c r="B208" s="13"/>
      <c r="C208" s="13"/>
      <c r="D208" s="13"/>
      <c r="E208" s="13"/>
      <c r="F208" s="13"/>
      <c r="G208" s="13"/>
      <c r="H208" s="13"/>
      <c r="I208" s="43"/>
      <c r="J208" s="43"/>
      <c r="K208" s="43"/>
      <c r="L208" s="43"/>
      <c r="M208" s="43"/>
    </row>
    <row r="209" spans="1:13" s="39" customFormat="1" ht="18.5" x14ac:dyDescent="0.45">
      <c r="A209" s="13"/>
      <c r="B209" s="13"/>
      <c r="C209" s="13"/>
      <c r="D209" s="13"/>
      <c r="E209" s="13"/>
      <c r="F209" s="13"/>
      <c r="G209" s="13"/>
      <c r="H209" s="13"/>
      <c r="I209" s="43"/>
      <c r="J209" s="43"/>
      <c r="K209" s="43"/>
      <c r="L209" s="43"/>
      <c r="M209" s="43"/>
    </row>
    <row r="210" spans="1:13" s="39" customFormat="1" ht="18.5" x14ac:dyDescent="0.45">
      <c r="I210" s="43"/>
      <c r="J210" s="43"/>
      <c r="K210" s="43"/>
      <c r="L210" s="43"/>
      <c r="M210" s="43"/>
    </row>
    <row r="211" spans="1:13" s="39" customFormat="1" ht="18.5" x14ac:dyDescent="0.45">
      <c r="I211" s="43"/>
      <c r="J211" s="43"/>
      <c r="K211" s="43"/>
      <c r="L211" s="43"/>
      <c r="M211" s="43"/>
    </row>
    <row r="212" spans="1:13" s="39" customFormat="1" ht="18.5" x14ac:dyDescent="0.45">
      <c r="I212" s="43"/>
      <c r="J212" s="43"/>
      <c r="K212" s="43"/>
      <c r="L212" s="43"/>
      <c r="M212" s="43"/>
    </row>
    <row r="213" spans="1:13" s="39" customFormat="1" ht="18.5" x14ac:dyDescent="0.45">
      <c r="I213" s="43"/>
      <c r="J213" s="43"/>
      <c r="K213" s="43"/>
      <c r="L213" s="43"/>
      <c r="M213" s="43"/>
    </row>
    <row r="214" spans="1:13" s="39" customFormat="1" ht="18.5" x14ac:dyDescent="0.45">
      <c r="I214" s="43"/>
      <c r="J214" s="43"/>
      <c r="K214" s="43"/>
      <c r="L214" s="43"/>
      <c r="M214" s="43"/>
    </row>
    <row r="215" spans="1:13" s="39" customFormat="1" ht="18.5" x14ac:dyDescent="0.45">
      <c r="I215" s="43"/>
      <c r="J215" s="43"/>
      <c r="K215" s="43"/>
      <c r="L215" s="43"/>
      <c r="M215" s="43"/>
    </row>
    <row r="216" spans="1:13" s="39" customFormat="1" ht="18.5" x14ac:dyDescent="0.45">
      <c r="I216" s="43"/>
      <c r="J216" s="43"/>
      <c r="K216" s="43"/>
      <c r="L216" s="43"/>
      <c r="M216" s="43"/>
    </row>
    <row r="217" spans="1:13" s="39" customFormat="1" ht="18.5" x14ac:dyDescent="0.45">
      <c r="I217" s="43"/>
      <c r="J217" s="43"/>
      <c r="K217" s="43"/>
      <c r="L217" s="43"/>
      <c r="M217" s="43"/>
    </row>
    <row r="218" spans="1:13" s="39" customFormat="1" ht="18.5" x14ac:dyDescent="0.45">
      <c r="I218" s="43"/>
      <c r="J218" s="43"/>
      <c r="K218" s="43"/>
      <c r="L218" s="43"/>
      <c r="M218" s="43"/>
    </row>
    <row r="219" spans="1:13" s="39" customFormat="1" ht="18.5" x14ac:dyDescent="0.45"/>
    <row r="220" spans="1:13" s="39" customFormat="1" ht="18.5" x14ac:dyDescent="0.45"/>
    <row r="221" spans="1:13" s="39" customFormat="1" ht="18.5" x14ac:dyDescent="0.45"/>
    <row r="222" spans="1:13" s="39" customFormat="1" ht="18.5" x14ac:dyDescent="0.45"/>
    <row r="223" spans="1:13" s="39" customFormat="1" ht="18.5" x14ac:dyDescent="0.45"/>
    <row r="224" spans="1:13" s="39" customFormat="1" ht="18.5" x14ac:dyDescent="0.45"/>
  </sheetData>
  <mergeCells count="5">
    <mergeCell ref="F1:L1"/>
    <mergeCell ref="N1:U1"/>
    <mergeCell ref="E4:K4"/>
    <mergeCell ref="M4:O4"/>
    <mergeCell ref="Q4:S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D7D04-9777-4E2D-9A9E-D1A07DFC134D}">
  <dimension ref="A1:V225"/>
  <sheetViews>
    <sheetView showGridLines="0" topLeftCell="A25" zoomScale="61" zoomScaleNormal="76" workbookViewId="0">
      <selection activeCell="E37" sqref="E37"/>
    </sheetView>
  </sheetViews>
  <sheetFormatPr defaultColWidth="11.6328125" defaultRowHeight="14.5" outlineLevelRow="1" x14ac:dyDescent="0.35"/>
  <cols>
    <col min="1" max="3" width="1.26953125" style="1" customWidth="1"/>
    <col min="4" max="4" width="43.453125" style="1" bestFit="1" customWidth="1"/>
    <col min="5" max="5" width="18.453125" style="1" customWidth="1"/>
    <col min="6" max="6" width="10.54296875" style="1" bestFit="1" customWidth="1"/>
    <col min="7" max="7" width="10.90625" style="1" bestFit="1" customWidth="1"/>
    <col min="8" max="8" width="14.26953125" style="1" bestFit="1" customWidth="1"/>
    <col min="9" max="9" width="10.36328125" style="1" bestFit="1" customWidth="1"/>
    <col min="10" max="10" width="13.36328125" style="1" bestFit="1" customWidth="1"/>
    <col min="11" max="11" width="13.08984375" style="1" bestFit="1" customWidth="1"/>
    <col min="12" max="12" width="11.08984375" style="1" bestFit="1" customWidth="1"/>
    <col min="13" max="13" width="13.90625" style="1" bestFit="1" customWidth="1"/>
    <col min="14" max="14" width="14.7265625" style="1" bestFit="1" customWidth="1"/>
    <col min="15" max="15" width="11.6328125" style="1"/>
    <col min="16" max="16" width="11.7265625" style="1" bestFit="1" customWidth="1"/>
    <col min="17" max="17" width="11.7265625" style="1" customWidth="1"/>
    <col min="18" max="18" width="13.1796875" style="1" bestFit="1" customWidth="1"/>
    <col min="19" max="19" width="11.7265625" style="1" customWidth="1"/>
    <col min="20" max="21" width="11.7265625" style="1" bestFit="1" customWidth="1"/>
    <col min="22" max="16384" width="11.6328125" style="1"/>
  </cols>
  <sheetData>
    <row r="1" spans="1:21" ht="36" x14ac:dyDescent="0.8">
      <c r="A1" s="115" t="s">
        <v>168</v>
      </c>
      <c r="B1" s="115"/>
      <c r="C1" s="115"/>
      <c r="D1" s="115"/>
      <c r="E1" s="113"/>
      <c r="F1" s="224"/>
      <c r="G1" s="224"/>
      <c r="H1" s="224"/>
      <c r="I1" s="224"/>
      <c r="J1" s="224"/>
      <c r="K1" s="224"/>
      <c r="L1" s="224"/>
      <c r="M1" s="36"/>
      <c r="N1" s="36"/>
      <c r="O1" s="108"/>
      <c r="P1" s="108"/>
      <c r="Q1" s="108"/>
      <c r="R1" s="108"/>
      <c r="S1" s="108"/>
      <c r="T1" s="108"/>
      <c r="U1" s="108"/>
    </row>
    <row r="2" spans="1:21" ht="18.5" x14ac:dyDescent="0.45">
      <c r="A2" s="127" t="s">
        <v>326</v>
      </c>
      <c r="B2" s="127"/>
      <c r="C2" s="127"/>
      <c r="D2" s="127"/>
      <c r="E2" s="125"/>
      <c r="F2" s="33"/>
      <c r="G2" s="33"/>
      <c r="H2" s="33"/>
      <c r="I2" s="35"/>
      <c r="J2" s="35"/>
      <c r="K2" s="35"/>
      <c r="L2" s="35"/>
      <c r="M2" s="35"/>
      <c r="N2" s="35"/>
      <c r="O2" s="56"/>
      <c r="P2" s="56"/>
      <c r="Q2" s="56"/>
      <c r="R2" s="56"/>
      <c r="S2" s="56"/>
      <c r="T2" s="56"/>
      <c r="U2" s="56"/>
    </row>
    <row r="3" spans="1:21" ht="20.5" x14ac:dyDescent="0.45">
      <c r="A3" s="57"/>
      <c r="B3" s="53"/>
      <c r="C3" s="53"/>
      <c r="D3" s="53"/>
      <c r="E3" s="54"/>
      <c r="F3" s="54"/>
      <c r="G3" s="54"/>
      <c r="H3" s="54"/>
      <c r="I3" s="55"/>
      <c r="J3" s="55"/>
      <c r="K3" s="55"/>
      <c r="L3" s="55"/>
      <c r="M3" s="55"/>
      <c r="N3" s="56"/>
      <c r="O3" s="56"/>
      <c r="P3" s="56"/>
      <c r="Q3" s="56"/>
      <c r="R3" s="56"/>
      <c r="S3" s="56"/>
      <c r="T3" s="56"/>
      <c r="U3" s="56"/>
    </row>
    <row r="4" spans="1:21" ht="20.5" x14ac:dyDescent="0.45">
      <c r="A4" s="38" t="s">
        <v>327</v>
      </c>
      <c r="B4" s="107"/>
      <c r="C4" s="107"/>
      <c r="D4" s="107"/>
      <c r="E4" s="112"/>
      <c r="F4" s="112"/>
      <c r="G4" s="112"/>
      <c r="H4" s="112"/>
      <c r="I4" s="110"/>
      <c r="J4" s="110"/>
      <c r="K4" s="110"/>
      <c r="L4" s="110"/>
      <c r="M4" s="110"/>
      <c r="N4" s="37"/>
      <c r="O4" s="56"/>
      <c r="P4" s="56"/>
      <c r="Q4" s="56"/>
      <c r="R4" s="56"/>
      <c r="S4" s="56"/>
      <c r="T4" s="56"/>
      <c r="U4" s="56"/>
    </row>
    <row r="5" spans="1:21" ht="20.5" x14ac:dyDescent="0.45">
      <c r="A5" s="57"/>
      <c r="B5" s="53"/>
      <c r="C5" s="53"/>
      <c r="D5" s="53"/>
      <c r="E5" s="54"/>
      <c r="F5" s="54"/>
      <c r="G5" s="54"/>
      <c r="H5" s="54"/>
      <c r="I5" s="55"/>
      <c r="J5" s="55"/>
      <c r="K5" s="55"/>
      <c r="L5" s="55"/>
      <c r="M5" s="55"/>
      <c r="N5" s="56"/>
      <c r="O5" s="56"/>
      <c r="P5" s="56"/>
      <c r="Q5" s="56"/>
      <c r="R5" s="56"/>
      <c r="S5" s="56"/>
      <c r="T5" s="56"/>
      <c r="U5" s="56"/>
    </row>
    <row r="6" spans="1:21" ht="15.5" x14ac:dyDescent="0.35">
      <c r="A6" s="87"/>
      <c r="B6" s="87"/>
      <c r="C6" s="122"/>
      <c r="D6" s="88"/>
      <c r="E6" s="86"/>
      <c r="F6" s="86"/>
      <c r="G6" s="86"/>
      <c r="H6" s="86"/>
      <c r="I6" s="86"/>
      <c r="J6" s="86"/>
      <c r="K6" s="92"/>
      <c r="L6" s="88"/>
      <c r="M6" s="86"/>
      <c r="N6" s="86"/>
      <c r="O6" s="96"/>
      <c r="P6" s="54"/>
      <c r="Q6" s="97"/>
      <c r="R6" s="97"/>
      <c r="S6" s="97"/>
      <c r="T6" s="96"/>
      <c r="U6" s="96"/>
    </row>
    <row r="7" spans="1:21" s="54" customFormat="1" ht="15.5" x14ac:dyDescent="0.35">
      <c r="A7" s="87"/>
      <c r="B7" s="87"/>
      <c r="C7" s="87"/>
      <c r="D7" s="86" t="s">
        <v>274</v>
      </c>
      <c r="E7" s="86" t="s">
        <v>275</v>
      </c>
      <c r="F7" s="88"/>
      <c r="G7" s="88"/>
      <c r="H7" s="89" t="s">
        <v>315</v>
      </c>
      <c r="I7" s="92" t="s">
        <v>328</v>
      </c>
      <c r="J7" s="88" t="s">
        <v>329</v>
      </c>
      <c r="K7" s="89" t="s">
        <v>330</v>
      </c>
      <c r="L7" s="88" t="s">
        <v>331</v>
      </c>
      <c r="M7" s="89" t="s">
        <v>332</v>
      </c>
      <c r="N7" s="89" t="s">
        <v>333</v>
      </c>
      <c r="O7" s="126"/>
      <c r="Q7" s="126"/>
      <c r="R7" s="126"/>
      <c r="S7" s="126"/>
      <c r="T7" s="97"/>
      <c r="U7" s="97"/>
    </row>
    <row r="8" spans="1:21" ht="15.5" x14ac:dyDescent="0.35">
      <c r="A8" s="81"/>
      <c r="B8" s="81"/>
      <c r="C8" s="81"/>
      <c r="F8" s="64"/>
      <c r="G8" s="64"/>
      <c r="H8" s="64"/>
      <c r="I8" s="64"/>
      <c r="J8" s="64"/>
      <c r="K8" s="64"/>
      <c r="L8" s="64"/>
      <c r="M8" s="64"/>
      <c r="N8" s="64"/>
      <c r="O8" s="64"/>
      <c r="P8" s="64"/>
      <c r="Q8" s="66"/>
      <c r="R8" s="66"/>
      <c r="S8" s="66"/>
      <c r="U8" s="64"/>
    </row>
    <row r="9" spans="1:21" ht="15.5" x14ac:dyDescent="0.35">
      <c r="A9" s="43"/>
      <c r="B9" s="43"/>
      <c r="C9" s="43"/>
      <c r="D9" s="84" t="s">
        <v>281</v>
      </c>
      <c r="E9" s="85">
        <v>500124</v>
      </c>
      <c r="F9" s="64"/>
      <c r="G9" s="64"/>
      <c r="H9" s="64">
        <f>'Comp Valuation'!H8</f>
        <v>1073865.9000000001</v>
      </c>
      <c r="I9" s="64">
        <f>'Comp Valuation'!I8</f>
        <v>19766.03</v>
      </c>
      <c r="J9" s="119">
        <f>I9/H9</f>
        <v>1.8406422999370776E-2</v>
      </c>
      <c r="K9" s="119">
        <f>I9/(H9+I9)</f>
        <v>1.8073749913282065E-2</v>
      </c>
      <c r="L9" s="119">
        <v>0.24460000000000001</v>
      </c>
      <c r="M9" s="124">
        <v>0.35</v>
      </c>
      <c r="N9" s="121">
        <f>M9/(1+J9*(1-L9))</f>
        <v>0.34520026239212254</v>
      </c>
      <c r="O9" s="64"/>
      <c r="P9" s="64"/>
      <c r="Q9" s="66"/>
      <c r="R9" s="66"/>
      <c r="S9" s="66"/>
      <c r="U9" s="64"/>
    </row>
    <row r="10" spans="1:21" ht="15.5" customHeight="1" x14ac:dyDescent="0.35">
      <c r="A10" s="43"/>
      <c r="B10" s="43"/>
      <c r="C10" s="43"/>
      <c r="D10" s="84" t="s">
        <v>282</v>
      </c>
      <c r="E10" s="85" t="s">
        <v>283</v>
      </c>
      <c r="F10" s="64"/>
      <c r="G10" s="64"/>
      <c r="H10" s="64">
        <f>'Comp Valuation'!H9</f>
        <v>934402.86</v>
      </c>
      <c r="I10" s="64">
        <f>'Comp Valuation'!I9</f>
        <v>1910.79</v>
      </c>
      <c r="J10" s="119">
        <f t="shared" ref="J10:J18" si="0">I10/H10</f>
        <v>2.0449316689805509E-3</v>
      </c>
      <c r="K10" s="119">
        <f t="shared" ref="K10:K18" si="1">I10/(H10+I10)</f>
        <v>2.0407584573823097E-3</v>
      </c>
      <c r="L10" s="119">
        <v>0.20549999999999999</v>
      </c>
      <c r="M10" s="124">
        <v>0.49</v>
      </c>
      <c r="N10" s="121">
        <f t="shared" ref="N10:N18" si="2">M10/(1+J10*(1-L10))</f>
        <v>0.48920518920428541</v>
      </c>
      <c r="O10" s="64"/>
      <c r="P10" s="64"/>
      <c r="Q10" s="66"/>
      <c r="R10" s="66"/>
      <c r="S10" s="66"/>
      <c r="U10" s="64"/>
    </row>
    <row r="11" spans="1:21" ht="15.5" x14ac:dyDescent="0.35">
      <c r="A11" s="43"/>
      <c r="B11" s="43"/>
      <c r="C11" s="43"/>
      <c r="D11" s="84" t="s">
        <v>284</v>
      </c>
      <c r="E11" s="85">
        <v>500420</v>
      </c>
      <c r="F11" s="64"/>
      <c r="G11" s="64"/>
      <c r="H11" s="64">
        <f>'Comp Valuation'!H10</f>
        <v>888853.01399999985</v>
      </c>
      <c r="I11" s="64">
        <f>'Comp Valuation'!I10</f>
        <v>44697.86</v>
      </c>
      <c r="J11" s="119">
        <f t="shared" si="0"/>
        <v>5.0287122050530625E-2</v>
      </c>
      <c r="K11" s="119">
        <f t="shared" si="1"/>
        <v>4.7879404588292429E-2</v>
      </c>
      <c r="L11" s="119">
        <v>0.30640000000000001</v>
      </c>
      <c r="M11" s="124">
        <v>0.28000000000000003</v>
      </c>
      <c r="N11" s="121">
        <f t="shared" si="2"/>
        <v>0.2705629933510218</v>
      </c>
      <c r="O11" s="64"/>
      <c r="P11" s="64"/>
      <c r="Q11" s="66"/>
      <c r="R11" s="66"/>
      <c r="S11" s="66"/>
      <c r="U11" s="64"/>
    </row>
    <row r="12" spans="1:21" ht="15.5" x14ac:dyDescent="0.35">
      <c r="A12" s="43"/>
      <c r="B12" s="43"/>
      <c r="C12" s="43"/>
      <c r="D12" s="84" t="s">
        <v>285</v>
      </c>
      <c r="E12" s="85" t="s">
        <v>286</v>
      </c>
      <c r="F12" s="64"/>
      <c r="G12" s="64"/>
      <c r="H12" s="64">
        <f>'Comp Valuation'!H11</f>
        <v>863666.34750000003</v>
      </c>
      <c r="I12" s="64">
        <f>'Comp Valuation'!I11</f>
        <v>1786.67</v>
      </c>
      <c r="J12" s="119">
        <f t="shared" si="0"/>
        <v>2.0687039678826897E-3</v>
      </c>
      <c r="K12" s="119">
        <f t="shared" si="1"/>
        <v>2.0644332665926603E-3</v>
      </c>
      <c r="L12" s="119">
        <v>0.20230000000000001</v>
      </c>
      <c r="M12" s="124"/>
      <c r="N12" s="121"/>
      <c r="O12" s="64"/>
      <c r="P12" s="64"/>
      <c r="Q12" s="66"/>
      <c r="R12" s="66"/>
      <c r="S12" s="66"/>
      <c r="U12" s="64"/>
    </row>
    <row r="13" spans="1:21" ht="16" customHeight="1" x14ac:dyDescent="0.35">
      <c r="A13" s="43"/>
      <c r="B13" s="43"/>
      <c r="C13" s="43"/>
      <c r="D13" s="84" t="s">
        <v>287</v>
      </c>
      <c r="E13" s="85">
        <v>500257</v>
      </c>
      <c r="F13" s="64"/>
      <c r="G13" s="64"/>
      <c r="H13" s="64">
        <f>'Comp Valuation'!H12</f>
        <v>737113.96199999994</v>
      </c>
      <c r="I13" s="64">
        <f>'Comp Valuation'!I12</f>
        <v>37684.11</v>
      </c>
      <c r="J13" s="119">
        <f t="shared" si="0"/>
        <v>5.1123858646975412E-2</v>
      </c>
      <c r="K13" s="119">
        <f t="shared" si="1"/>
        <v>4.8637330630838228E-2</v>
      </c>
      <c r="L13" s="119">
        <v>0.17100000000000001</v>
      </c>
      <c r="M13" s="124">
        <v>0.66</v>
      </c>
      <c r="N13" s="121">
        <f t="shared" si="2"/>
        <v>0.63316538789149146</v>
      </c>
      <c r="O13" s="64"/>
      <c r="P13" s="64"/>
      <c r="Q13" s="66"/>
      <c r="R13" s="66"/>
      <c r="S13" s="66"/>
      <c r="U13" s="64"/>
    </row>
    <row r="14" spans="1:21" ht="19.5" customHeight="1" x14ac:dyDescent="0.35">
      <c r="A14" s="43"/>
      <c r="B14" s="43"/>
      <c r="C14" s="43"/>
      <c r="D14" s="84" t="s">
        <v>288</v>
      </c>
      <c r="E14" s="223" t="s">
        <v>289</v>
      </c>
      <c r="F14" s="64"/>
      <c r="G14" s="64"/>
      <c r="H14" s="64">
        <f>'Comp Valuation'!H13</f>
        <v>612188.69999999995</v>
      </c>
      <c r="I14" s="64">
        <f>'Comp Valuation'!I13</f>
        <v>66201.73</v>
      </c>
      <c r="J14" s="119">
        <f t="shared" si="0"/>
        <v>0.10813941845055292</v>
      </c>
      <c r="K14" s="119">
        <f t="shared" si="1"/>
        <v>9.758647391296485E-2</v>
      </c>
      <c r="L14" s="119">
        <v>0.28670000000000001</v>
      </c>
      <c r="M14" s="124">
        <v>0.62</v>
      </c>
      <c r="N14" s="121">
        <f t="shared" si="2"/>
        <v>0.57560056293989748</v>
      </c>
      <c r="O14" s="64"/>
      <c r="P14" s="64"/>
      <c r="Q14" s="66"/>
      <c r="R14" s="66"/>
      <c r="S14" s="66"/>
      <c r="U14" s="64"/>
    </row>
    <row r="15" spans="1:21" ht="15.5" x14ac:dyDescent="0.35">
      <c r="A15" s="43"/>
      <c r="B15" s="43"/>
      <c r="C15" s="43"/>
      <c r="D15" s="84" t="s">
        <v>290</v>
      </c>
      <c r="E15" s="85">
        <v>500488</v>
      </c>
      <c r="F15" s="64"/>
      <c r="G15" s="64"/>
      <c r="H15" s="64">
        <f>'Comp Valuation'!H14</f>
        <v>609581.75</v>
      </c>
      <c r="I15" s="64">
        <f>'Comp Valuation'!I14</f>
        <v>911.48</v>
      </c>
      <c r="J15" s="119">
        <f t="shared" si="0"/>
        <v>1.4952547381872898E-3</v>
      </c>
      <c r="K15" s="119">
        <f t="shared" si="1"/>
        <v>1.493022289534644E-3</v>
      </c>
      <c r="L15" s="119">
        <v>0.25440000000000002</v>
      </c>
      <c r="M15" s="124">
        <v>0.05</v>
      </c>
      <c r="N15" s="121">
        <f t="shared" si="2"/>
        <v>4.9944318980009943E-2</v>
      </c>
      <c r="O15" s="64"/>
      <c r="P15" s="64"/>
      <c r="Q15" s="66"/>
      <c r="R15" s="66"/>
      <c r="S15" s="66"/>
      <c r="U15" s="64"/>
    </row>
    <row r="16" spans="1:21" ht="16.5" customHeight="1" x14ac:dyDescent="0.35">
      <c r="A16" s="43"/>
      <c r="B16" s="43"/>
      <c r="C16" s="43"/>
      <c r="D16" s="84" t="s">
        <v>291</v>
      </c>
      <c r="E16" s="85">
        <v>500660</v>
      </c>
      <c r="F16" s="64"/>
      <c r="G16" s="64"/>
      <c r="H16" s="64">
        <f>'Comp Valuation'!H15</f>
        <v>367363.53</v>
      </c>
      <c r="I16" s="64">
        <f>'Comp Valuation'!I15</f>
        <v>212.88</v>
      </c>
      <c r="J16" s="119">
        <f t="shared" si="0"/>
        <v>5.7948049443013567E-4</v>
      </c>
      <c r="K16" s="119">
        <f t="shared" si="1"/>
        <v>5.791448912622004E-4</v>
      </c>
      <c r="L16" s="119">
        <v>0.28089999999999998</v>
      </c>
      <c r="M16" s="124">
        <v>0.25</v>
      </c>
      <c r="N16" s="121">
        <f t="shared" si="2"/>
        <v>0.24989586728667607</v>
      </c>
      <c r="O16" s="64"/>
      <c r="P16" s="64"/>
      <c r="Q16" s="66"/>
      <c r="R16" s="66"/>
      <c r="S16" s="66"/>
      <c r="U16" s="64"/>
    </row>
    <row r="17" spans="1:22" ht="15.5" x14ac:dyDescent="0.35">
      <c r="A17" s="43"/>
      <c r="B17" s="43"/>
      <c r="C17" s="43"/>
      <c r="D17" s="84" t="s">
        <v>292</v>
      </c>
      <c r="E17" s="85" t="s">
        <v>293</v>
      </c>
      <c r="F17" s="64"/>
      <c r="G17" s="64"/>
      <c r="H17" s="64">
        <f>'Comp Valuation'!H16</f>
        <v>308857.42800000001</v>
      </c>
      <c r="I17" s="64">
        <f>'Comp Valuation'!I16</f>
        <v>19789.53</v>
      </c>
      <c r="J17" s="119">
        <f t="shared" si="0"/>
        <v>6.4073349726916709E-2</v>
      </c>
      <c r="K17" s="119">
        <f t="shared" si="1"/>
        <v>6.0215162557506467E-2</v>
      </c>
      <c r="L17" s="119">
        <v>0.32450000000000001</v>
      </c>
      <c r="M17" s="124">
        <v>0.22</v>
      </c>
      <c r="N17" s="121">
        <f t="shared" si="2"/>
        <v>0.21087308644196856</v>
      </c>
      <c r="O17" s="64"/>
      <c r="P17" s="64"/>
      <c r="Q17" s="66"/>
      <c r="R17" s="66"/>
      <c r="S17" s="66"/>
      <c r="U17" s="64"/>
    </row>
    <row r="18" spans="1:22" ht="15.5" x14ac:dyDescent="0.35">
      <c r="A18" s="43"/>
      <c r="B18" s="43"/>
      <c r="C18" s="43"/>
      <c r="D18" s="84" t="s">
        <v>294</v>
      </c>
      <c r="E18" s="85" t="s">
        <v>295</v>
      </c>
      <c r="F18" s="64"/>
      <c r="G18" s="64"/>
      <c r="H18" s="64">
        <f>'Comp Valuation'!H17</f>
        <v>306560.39199999999</v>
      </c>
      <c r="I18" s="64">
        <f>'Comp Valuation'!I17</f>
        <v>3555.02</v>
      </c>
      <c r="J18" s="119">
        <f t="shared" si="0"/>
        <v>1.1596475255029033E-2</v>
      </c>
      <c r="K18" s="119">
        <f t="shared" si="1"/>
        <v>1.1463538613166378E-2</v>
      </c>
      <c r="L18" s="119">
        <v>0.30330000000000001</v>
      </c>
      <c r="M18" s="124">
        <v>0.42</v>
      </c>
      <c r="N18" s="121">
        <f t="shared" si="2"/>
        <v>0.41663390456444205</v>
      </c>
      <c r="O18" s="64"/>
      <c r="P18" s="64"/>
      <c r="Q18" s="66"/>
      <c r="R18" s="66"/>
      <c r="S18" s="66"/>
      <c r="U18" s="64"/>
    </row>
    <row r="19" spans="1:22" ht="15.5" x14ac:dyDescent="0.35">
      <c r="A19" s="43"/>
      <c r="B19" s="43"/>
      <c r="C19" s="4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</row>
    <row r="20" spans="1:22" ht="15.5" x14ac:dyDescent="0.35">
      <c r="A20" s="43"/>
      <c r="B20" s="43"/>
      <c r="C20" s="43"/>
      <c r="D20" s="93" t="s">
        <v>309</v>
      </c>
      <c r="E20" s="93"/>
      <c r="F20" s="93"/>
      <c r="G20" s="93"/>
      <c r="H20" s="93"/>
      <c r="I20" s="93"/>
      <c r="J20" s="118">
        <f t="shared" ref="J20:N20" si="3">AVERAGE(J9:J18)</f>
        <v>3.0981501799885614E-2</v>
      </c>
      <c r="K20" s="118">
        <f t="shared" si="3"/>
        <v>2.9003301912082224E-2</v>
      </c>
      <c r="L20" s="118">
        <f t="shared" si="3"/>
        <v>0.25796000000000002</v>
      </c>
      <c r="M20" s="116">
        <f t="shared" si="3"/>
        <v>0.37111111111111117</v>
      </c>
      <c r="N20" s="116">
        <f t="shared" si="3"/>
        <v>0.36012017478354619</v>
      </c>
      <c r="O20" s="123"/>
      <c r="P20" s="123"/>
      <c r="Q20" s="120"/>
      <c r="R20" s="120"/>
      <c r="S20" s="120"/>
      <c r="T20" s="63"/>
      <c r="U20" s="63"/>
    </row>
    <row r="21" spans="1:22" ht="15.5" x14ac:dyDescent="0.35">
      <c r="A21" s="43"/>
      <c r="B21" s="43"/>
      <c r="C21" s="43"/>
      <c r="D21" s="93" t="s">
        <v>310</v>
      </c>
      <c r="E21" s="93"/>
      <c r="F21" s="93"/>
      <c r="G21" s="93"/>
      <c r="H21" s="93"/>
      <c r="I21" s="94"/>
      <c r="J21" s="118">
        <f t="shared" ref="J21:N21" si="4">MEDIAN(J9:J18)</f>
        <v>1.5001449127199903E-2</v>
      </c>
      <c r="K21" s="118">
        <f t="shared" si="4"/>
        <v>1.4768644263224221E-2</v>
      </c>
      <c r="L21" s="118">
        <f t="shared" si="4"/>
        <v>0.26765</v>
      </c>
      <c r="M21" s="114">
        <f t="shared" si="4"/>
        <v>0.35</v>
      </c>
      <c r="N21" s="116">
        <f t="shared" si="4"/>
        <v>0.34520026239212254</v>
      </c>
      <c r="O21" s="117"/>
      <c r="P21" s="117"/>
      <c r="Q21" s="120"/>
      <c r="R21" s="120"/>
      <c r="S21" s="120"/>
      <c r="T21" s="72"/>
      <c r="U21" s="72"/>
    </row>
    <row r="22" spans="1:22" ht="15.5" x14ac:dyDescent="0.35">
      <c r="A22" s="43"/>
      <c r="B22" s="43"/>
      <c r="C22" s="43"/>
      <c r="D22" s="63"/>
      <c r="E22" s="63"/>
      <c r="F22" s="63"/>
      <c r="G22" s="63"/>
      <c r="H22" s="63"/>
      <c r="I22" s="72"/>
      <c r="J22" s="72"/>
      <c r="K22" s="72"/>
      <c r="L22" s="72"/>
      <c r="M22" s="72"/>
      <c r="N22" s="70"/>
      <c r="O22" s="70"/>
      <c r="P22" s="70"/>
      <c r="Q22" s="70"/>
      <c r="R22" s="70"/>
      <c r="S22" s="70"/>
      <c r="T22" s="70"/>
      <c r="U22" s="70"/>
    </row>
    <row r="23" spans="1:22" ht="15.5" x14ac:dyDescent="0.35">
      <c r="D23" s="82" t="s">
        <v>279</v>
      </c>
      <c r="E23" s="83" t="s">
        <v>280</v>
      </c>
      <c r="F23" s="64"/>
      <c r="G23" s="64"/>
      <c r="H23" s="64">
        <f>'Comp Valuation'!H22</f>
        <v>648206.90549999988</v>
      </c>
      <c r="I23" s="64">
        <f>'Comp Valuation'!I22</f>
        <v>14367.84</v>
      </c>
      <c r="J23" s="119">
        <f t="shared" ref="J23" si="5">I23/H23</f>
        <v>2.2165515174382856E-2</v>
      </c>
      <c r="K23" s="119">
        <f t="shared" ref="K23" si="6">I23/(H23+I23)</f>
        <v>2.1684859100926906E-2</v>
      </c>
      <c r="L23" s="119">
        <v>0.15679999999999999</v>
      </c>
      <c r="M23" s="64"/>
      <c r="N23" s="64"/>
      <c r="O23" s="64"/>
      <c r="P23" s="64"/>
      <c r="Q23" s="66"/>
      <c r="R23" s="66"/>
      <c r="S23" s="66"/>
    </row>
    <row r="24" spans="1:22" ht="20.5" x14ac:dyDescent="0.45">
      <c r="A24" s="68"/>
      <c r="B24" s="68"/>
      <c r="C24" s="68"/>
      <c r="D24" s="68"/>
      <c r="E24" s="68"/>
      <c r="F24" s="68"/>
      <c r="G24" s="68"/>
      <c r="H24" s="68"/>
      <c r="I24" s="68"/>
      <c r="J24" s="68"/>
      <c r="K24" s="68"/>
      <c r="L24" s="68"/>
      <c r="M24" s="68"/>
      <c r="N24" s="68"/>
      <c r="O24" s="68"/>
      <c r="P24" s="68"/>
      <c r="Q24" s="68"/>
      <c r="R24" s="68"/>
      <c r="S24" s="68"/>
      <c r="T24" s="68"/>
      <c r="U24" s="68"/>
    </row>
    <row r="25" spans="1:22" s="39" customFormat="1" ht="18.5" outlineLevel="1" x14ac:dyDescent="0.45">
      <c r="A25" s="13"/>
      <c r="B25" s="16"/>
      <c r="C25" s="13"/>
      <c r="D25" s="102" t="s">
        <v>334</v>
      </c>
      <c r="E25" s="100"/>
      <c r="F25" s="104"/>
      <c r="G25" s="104"/>
      <c r="H25" s="104"/>
      <c r="I25" s="104"/>
      <c r="J25" s="100"/>
      <c r="K25" s="99"/>
      <c r="L25" s="99"/>
      <c r="M25" s="99"/>
      <c r="N25" s="144"/>
    </row>
    <row r="26" spans="1:22" s="39" customFormat="1" ht="18.5" outlineLevel="1" x14ac:dyDescent="0.45">
      <c r="A26" s="13"/>
      <c r="B26" s="13"/>
      <c r="C26" s="13"/>
      <c r="D26" s="13"/>
      <c r="E26" s="103"/>
      <c r="F26" s="64"/>
      <c r="G26" s="64"/>
      <c r="H26" s="64"/>
      <c r="I26" s="64"/>
      <c r="J26" s="64"/>
      <c r="K26" s="64"/>
      <c r="L26" s="43"/>
      <c r="M26" s="43"/>
      <c r="N26" s="40"/>
      <c r="O26" s="40"/>
      <c r="P26" s="40"/>
      <c r="Q26" s="40"/>
      <c r="R26" s="40"/>
      <c r="S26" s="40"/>
      <c r="T26" s="40"/>
      <c r="U26" s="40"/>
    </row>
    <row r="27" spans="1:22" s="39" customFormat="1" ht="18.5" outlineLevel="1" x14ac:dyDescent="0.45">
      <c r="A27" s="13"/>
      <c r="B27" s="13"/>
      <c r="C27" s="13"/>
      <c r="D27" s="143" t="s">
        <v>335</v>
      </c>
      <c r="E27" s="141"/>
      <c r="F27" s="129"/>
      <c r="G27" s="129"/>
      <c r="H27" s="129"/>
      <c r="I27" s="129"/>
      <c r="J27" s="64"/>
      <c r="K27" s="64"/>
      <c r="L27" s="43"/>
      <c r="M27" s="43"/>
      <c r="N27" s="40"/>
      <c r="O27" s="40"/>
      <c r="P27" s="40"/>
      <c r="Q27" s="40"/>
      <c r="R27" s="40"/>
      <c r="S27" s="40"/>
      <c r="T27" s="40"/>
      <c r="U27" s="40"/>
    </row>
    <row r="28" spans="1:22" s="39" customFormat="1" ht="18.5" outlineLevel="1" x14ac:dyDescent="0.45">
      <c r="A28" s="13"/>
      <c r="B28" s="13"/>
      <c r="C28" s="13"/>
      <c r="D28" s="13"/>
      <c r="E28" s="103"/>
      <c r="F28" s="64"/>
      <c r="G28" s="64"/>
      <c r="H28" s="64"/>
      <c r="I28" s="64"/>
      <c r="J28" s="64"/>
      <c r="K28" s="64"/>
      <c r="L28" s="101"/>
      <c r="M28" s="101"/>
      <c r="N28" s="40"/>
      <c r="O28" s="40"/>
      <c r="P28" s="40"/>
      <c r="Q28" s="40"/>
      <c r="R28" s="40"/>
      <c r="S28" s="40"/>
      <c r="T28" s="40"/>
      <c r="U28" s="40"/>
    </row>
    <row r="29" spans="1:22" s="39" customFormat="1" ht="18.5" outlineLevel="1" x14ac:dyDescent="0.45">
      <c r="A29" s="13"/>
      <c r="B29" s="16"/>
      <c r="C29" s="13"/>
      <c r="D29" s="145" t="s">
        <v>336</v>
      </c>
      <c r="E29" s="146">
        <f>J20</f>
        <v>3.0981501799885614E-2</v>
      </c>
      <c r="F29" s="42"/>
      <c r="G29" s="13"/>
      <c r="H29" s="13"/>
      <c r="I29" s="43"/>
      <c r="J29" s="43"/>
      <c r="K29" s="43"/>
      <c r="L29" s="43"/>
      <c r="M29" s="43"/>
      <c r="N29" s="40"/>
      <c r="O29" s="40"/>
      <c r="P29" s="40"/>
      <c r="Q29" s="40"/>
      <c r="R29" s="40"/>
      <c r="S29" s="40"/>
      <c r="T29" s="40"/>
      <c r="U29" s="40"/>
    </row>
    <row r="30" spans="1:22" s="39" customFormat="1" ht="18.5" outlineLevel="1" x14ac:dyDescent="0.45">
      <c r="A30" s="13"/>
      <c r="B30" s="13"/>
      <c r="C30" s="13"/>
      <c r="D30" s="13" t="s">
        <v>337</v>
      </c>
      <c r="E30" s="147">
        <f>1-E29</f>
        <v>0.96901849820011443</v>
      </c>
      <c r="F30" s="42"/>
      <c r="G30" s="13"/>
      <c r="H30" s="13"/>
      <c r="I30" s="43"/>
      <c r="J30" s="43"/>
      <c r="K30" s="43"/>
      <c r="L30" s="43"/>
      <c r="M30" s="43"/>
      <c r="N30" s="40"/>
      <c r="O30" s="40"/>
      <c r="P30" s="40"/>
      <c r="Q30" s="40"/>
      <c r="R30" s="40"/>
      <c r="S30" s="40"/>
      <c r="T30" s="40"/>
      <c r="U30" s="40"/>
    </row>
    <row r="31" spans="1:22" s="39" customFormat="1" ht="18.5" outlineLevel="1" x14ac:dyDescent="0.45">
      <c r="A31" s="13"/>
      <c r="B31" s="130"/>
      <c r="C31" s="130"/>
      <c r="D31" s="143" t="s">
        <v>338</v>
      </c>
      <c r="E31" s="142"/>
      <c r="F31" s="131"/>
      <c r="G31" s="130"/>
      <c r="H31" s="130"/>
      <c r="I31" s="132"/>
      <c r="J31" s="132"/>
      <c r="K31" s="132"/>
      <c r="L31" s="132"/>
      <c r="M31" s="132"/>
      <c r="N31" s="133"/>
      <c r="O31" s="133"/>
      <c r="P31" s="133"/>
      <c r="Q31" s="133"/>
      <c r="R31" s="133"/>
      <c r="S31" s="133"/>
      <c r="T31" s="133"/>
      <c r="U31" s="133"/>
      <c r="V31" s="134"/>
    </row>
    <row r="32" spans="1:22" s="39" customFormat="1" ht="18.5" outlineLevel="1" x14ac:dyDescent="0.45">
      <c r="A32" s="13"/>
      <c r="B32" s="130"/>
      <c r="C32" s="130"/>
      <c r="D32" s="130" t="s">
        <v>299</v>
      </c>
      <c r="E32" s="137">
        <f>H23</f>
        <v>648206.90549999988</v>
      </c>
      <c r="F32" s="136"/>
      <c r="G32" s="135"/>
      <c r="H32" s="135"/>
      <c r="I32" s="137"/>
      <c r="J32" s="137"/>
      <c r="K32" s="137"/>
      <c r="L32" s="137"/>
      <c r="M32" s="137"/>
      <c r="N32" s="133"/>
      <c r="O32" s="133"/>
      <c r="P32" s="133"/>
      <c r="Q32" s="133"/>
      <c r="R32" s="133"/>
      <c r="S32" s="133"/>
      <c r="T32" s="133"/>
      <c r="U32" s="133"/>
      <c r="V32" s="134"/>
    </row>
    <row r="33" spans="1:22" s="39" customFormat="1" ht="18.5" outlineLevel="1" x14ac:dyDescent="0.45">
      <c r="A33" s="13"/>
      <c r="B33" s="130"/>
      <c r="C33" s="130"/>
      <c r="D33" s="130" t="s">
        <v>328</v>
      </c>
      <c r="E33" s="139">
        <f>I23</f>
        <v>14367.84</v>
      </c>
      <c r="F33" s="131"/>
      <c r="G33" s="130"/>
      <c r="H33" s="130"/>
      <c r="I33" s="132"/>
      <c r="J33" s="132"/>
      <c r="K33" s="132"/>
      <c r="L33" s="132"/>
      <c r="M33" s="132"/>
      <c r="N33" s="133"/>
      <c r="O33" s="133"/>
      <c r="P33" s="133"/>
      <c r="Q33" s="133"/>
      <c r="R33" s="133"/>
      <c r="S33" s="133"/>
      <c r="T33" s="133"/>
      <c r="U33" s="133"/>
      <c r="V33" s="134"/>
    </row>
    <row r="34" spans="1:22" s="39" customFormat="1" ht="18.5" outlineLevel="1" x14ac:dyDescent="0.45">
      <c r="A34" s="13"/>
      <c r="B34" s="130"/>
      <c r="C34" s="130"/>
      <c r="D34" s="130" t="s">
        <v>329</v>
      </c>
      <c r="E34" s="148">
        <f>I23/H23</f>
        <v>2.2165515174382856E-2</v>
      </c>
      <c r="F34" s="136"/>
      <c r="G34" s="135"/>
      <c r="H34" s="135"/>
      <c r="I34" s="137"/>
      <c r="J34" s="137"/>
      <c r="K34" s="137"/>
      <c r="L34" s="137"/>
      <c r="M34" s="137"/>
      <c r="N34" s="133"/>
      <c r="O34" s="133"/>
      <c r="P34" s="133"/>
      <c r="Q34" s="133"/>
      <c r="R34" s="133"/>
      <c r="S34" s="133"/>
      <c r="T34" s="133"/>
      <c r="U34" s="133"/>
      <c r="V34" s="134"/>
    </row>
    <row r="35" spans="1:22" s="39" customFormat="1" ht="18.5" outlineLevel="1" x14ac:dyDescent="0.45">
      <c r="A35" s="13"/>
      <c r="B35" s="130"/>
      <c r="C35" s="130"/>
      <c r="D35" s="130"/>
      <c r="E35" s="130"/>
      <c r="F35" s="131"/>
      <c r="G35" s="130"/>
      <c r="H35" s="130"/>
      <c r="I35" s="132"/>
      <c r="J35" s="132"/>
      <c r="K35" s="132"/>
      <c r="L35" s="132"/>
      <c r="M35" s="132"/>
      <c r="N35" s="133"/>
      <c r="O35" s="133"/>
      <c r="P35" s="133"/>
      <c r="Q35" s="133"/>
      <c r="R35" s="133"/>
      <c r="S35" s="133"/>
      <c r="T35" s="133"/>
      <c r="U35" s="133"/>
      <c r="V35" s="134"/>
    </row>
    <row r="36" spans="1:22" s="39" customFormat="1" ht="18.5" outlineLevel="1" x14ac:dyDescent="0.45">
      <c r="A36" s="13"/>
      <c r="B36" s="130"/>
      <c r="C36" s="130"/>
      <c r="D36" s="143" t="s">
        <v>339</v>
      </c>
      <c r="E36" s="142"/>
      <c r="F36" s="131"/>
      <c r="G36" s="130"/>
      <c r="H36" s="130"/>
      <c r="I36" s="132"/>
      <c r="J36" s="132"/>
      <c r="K36" s="132"/>
      <c r="L36" s="132"/>
      <c r="M36" s="132"/>
      <c r="N36" s="133"/>
      <c r="O36" s="133"/>
      <c r="P36" s="133"/>
      <c r="Q36" s="133"/>
      <c r="R36" s="133"/>
      <c r="S36" s="133"/>
      <c r="T36" s="133"/>
      <c r="U36" s="133"/>
      <c r="V36" s="134"/>
    </row>
    <row r="37" spans="1:22" s="39" customFormat="1" ht="18.5" outlineLevel="1" x14ac:dyDescent="0.45">
      <c r="A37" s="13"/>
      <c r="B37" s="130"/>
      <c r="C37" s="130"/>
      <c r="D37" s="130" t="s">
        <v>340</v>
      </c>
      <c r="E37" s="148">
        <f>Model!M13</f>
        <v>4.4244998937986335E-2</v>
      </c>
      <c r="F37" s="136"/>
      <c r="G37" s="135"/>
      <c r="H37" s="135"/>
      <c r="I37" s="137"/>
      <c r="J37" s="137"/>
      <c r="K37" s="137"/>
      <c r="L37" s="137"/>
      <c r="M37" s="137"/>
      <c r="N37" s="133"/>
      <c r="O37" s="133"/>
      <c r="P37" s="133"/>
      <c r="Q37" s="133"/>
      <c r="R37" s="133"/>
      <c r="S37" s="133"/>
      <c r="T37" s="133"/>
      <c r="U37" s="133"/>
      <c r="V37" s="134"/>
    </row>
    <row r="38" spans="1:22" s="39" customFormat="1" ht="18.5" outlineLevel="1" x14ac:dyDescent="0.45">
      <c r="A38" s="13"/>
      <c r="B38" s="130"/>
      <c r="C38" s="130"/>
      <c r="D38" s="130" t="s">
        <v>331</v>
      </c>
      <c r="E38" s="149">
        <f>L23</f>
        <v>0.15679999999999999</v>
      </c>
      <c r="F38" s="131"/>
      <c r="G38" s="130"/>
      <c r="H38" s="130"/>
      <c r="I38" s="132"/>
      <c r="J38" s="132"/>
      <c r="K38" s="132"/>
      <c r="L38" s="132"/>
      <c r="M38" s="132"/>
      <c r="N38" s="133"/>
      <c r="O38" s="133"/>
      <c r="P38" s="133"/>
      <c r="Q38" s="133"/>
      <c r="R38" s="133"/>
      <c r="S38" s="133"/>
      <c r="T38" s="133"/>
      <c r="U38" s="133"/>
      <c r="V38" s="134"/>
    </row>
    <row r="39" spans="1:22" s="39" customFormat="1" ht="18.5" outlineLevel="1" x14ac:dyDescent="0.45">
      <c r="A39" s="13"/>
      <c r="B39" s="130"/>
      <c r="C39" s="130"/>
      <c r="D39" s="47" t="s">
        <v>341</v>
      </c>
      <c r="E39" s="150">
        <f>E37*(1-E38)</f>
        <v>3.7307383104510074E-2</v>
      </c>
      <c r="F39" s="136"/>
      <c r="G39" s="135"/>
      <c r="H39" s="135"/>
      <c r="I39" s="137"/>
      <c r="J39" s="137"/>
      <c r="K39" s="137"/>
      <c r="L39" s="137"/>
      <c r="M39" s="137"/>
      <c r="N39" s="133"/>
      <c r="O39" s="133"/>
      <c r="P39" s="133"/>
      <c r="Q39" s="133"/>
      <c r="R39" s="133"/>
      <c r="S39" s="133"/>
      <c r="T39" s="133"/>
      <c r="U39" s="133"/>
      <c r="V39" s="134"/>
    </row>
    <row r="40" spans="1:22" s="39" customFormat="1" ht="18.5" outlineLevel="1" x14ac:dyDescent="0.45">
      <c r="B40" s="134"/>
      <c r="C40" s="134"/>
      <c r="D40" s="134"/>
      <c r="E40" s="134"/>
      <c r="F40" s="134"/>
      <c r="G40" s="134"/>
      <c r="H40" s="134"/>
      <c r="I40" s="138"/>
      <c r="J40" s="138"/>
      <c r="K40" s="138"/>
      <c r="L40" s="138"/>
      <c r="M40" s="138"/>
      <c r="N40" s="133"/>
      <c r="O40" s="133"/>
      <c r="P40" s="133"/>
      <c r="Q40" s="133"/>
      <c r="R40" s="133"/>
      <c r="S40" s="133"/>
      <c r="T40" s="133"/>
      <c r="U40" s="133"/>
      <c r="V40" s="134"/>
    </row>
    <row r="41" spans="1:22" s="39" customFormat="1" ht="18.5" x14ac:dyDescent="0.45">
      <c r="B41" s="134"/>
      <c r="C41" s="134"/>
      <c r="D41" s="143" t="s">
        <v>342</v>
      </c>
      <c r="E41" s="142"/>
      <c r="F41" s="134"/>
      <c r="G41" s="134"/>
      <c r="H41" s="134"/>
      <c r="I41" s="138"/>
      <c r="J41" s="138"/>
      <c r="K41" s="138"/>
      <c r="L41" s="138"/>
      <c r="M41" s="138"/>
      <c r="N41" s="133"/>
      <c r="O41" s="133"/>
      <c r="P41" s="133"/>
      <c r="Q41" s="133"/>
      <c r="R41" s="133"/>
      <c r="S41" s="133"/>
      <c r="T41" s="133"/>
      <c r="U41" s="133"/>
      <c r="V41" s="134"/>
    </row>
    <row r="42" spans="1:22" s="39" customFormat="1" ht="20.5" x14ac:dyDescent="0.45">
      <c r="A42" s="38"/>
      <c r="B42" s="57"/>
      <c r="C42" s="57"/>
      <c r="D42" s="130" t="s">
        <v>343</v>
      </c>
      <c r="E42" s="149">
        <v>7.0999999999999994E-2</v>
      </c>
      <c r="F42" s="57"/>
      <c r="G42" s="57"/>
      <c r="H42" s="57"/>
      <c r="I42" s="57"/>
      <c r="J42" s="57"/>
      <c r="K42" s="57"/>
      <c r="L42" s="57"/>
      <c r="M42" s="57"/>
      <c r="N42" s="57"/>
      <c r="O42" s="57"/>
      <c r="P42" s="57"/>
      <c r="Q42" s="57"/>
      <c r="R42" s="57"/>
      <c r="S42" s="57"/>
      <c r="T42" s="57"/>
      <c r="U42" s="57"/>
      <c r="V42" s="134"/>
    </row>
    <row r="43" spans="1:22" s="39" customFormat="1" ht="18.5" x14ac:dyDescent="0.45">
      <c r="B43" s="134"/>
      <c r="C43" s="134"/>
      <c r="D43" s="130" t="s">
        <v>318</v>
      </c>
      <c r="E43" s="149">
        <v>0.151</v>
      </c>
      <c r="F43" s="134"/>
      <c r="G43" s="134"/>
      <c r="H43" s="134"/>
      <c r="I43" s="138"/>
      <c r="J43" s="138"/>
      <c r="K43" s="138"/>
      <c r="L43" s="138"/>
      <c r="M43" s="138"/>
      <c r="N43" s="133"/>
      <c r="O43" s="133"/>
      <c r="P43" s="133"/>
      <c r="Q43" s="133"/>
      <c r="R43" s="133"/>
      <c r="S43" s="133"/>
      <c r="T43" s="133"/>
      <c r="U43" s="133"/>
      <c r="V43" s="134"/>
    </row>
    <row r="44" spans="1:22" s="39" customFormat="1" ht="18.5" outlineLevel="1" x14ac:dyDescent="0.45">
      <c r="A44" s="13"/>
      <c r="B44" s="135"/>
      <c r="C44" s="130"/>
      <c r="D44" s="130" t="s">
        <v>344</v>
      </c>
      <c r="E44" s="149">
        <f>E43-E42</f>
        <v>0.08</v>
      </c>
      <c r="F44" s="131"/>
      <c r="G44" s="130"/>
      <c r="H44" s="130"/>
      <c r="I44" s="132"/>
      <c r="J44" s="132"/>
      <c r="K44" s="132"/>
      <c r="L44" s="132"/>
      <c r="M44" s="132"/>
      <c r="N44" s="133"/>
      <c r="O44" s="133"/>
      <c r="P44" s="133"/>
      <c r="Q44" s="133"/>
      <c r="R44" s="133"/>
      <c r="S44" s="133"/>
      <c r="T44" s="133"/>
      <c r="U44" s="133"/>
      <c r="V44" s="134"/>
    </row>
    <row r="45" spans="1:22" s="39" customFormat="1" ht="18.5" outlineLevel="1" x14ac:dyDescent="0.45">
      <c r="A45" s="13"/>
      <c r="B45" s="130"/>
      <c r="C45" s="135"/>
      <c r="D45" s="130" t="s">
        <v>345</v>
      </c>
      <c r="E45" s="151">
        <f>N21*(1+E34*(1-E38))</f>
        <v>0.35165204231498909</v>
      </c>
      <c r="F45" s="130"/>
      <c r="G45" s="130"/>
      <c r="H45" s="130"/>
      <c r="I45" s="132"/>
      <c r="J45" s="132"/>
      <c r="K45" s="132"/>
      <c r="L45" s="132"/>
      <c r="M45" s="132"/>
      <c r="N45" s="133"/>
      <c r="O45" s="133"/>
      <c r="P45" s="133"/>
      <c r="Q45" s="133"/>
      <c r="R45" s="133"/>
      <c r="S45" s="133"/>
      <c r="T45" s="133"/>
      <c r="U45" s="133"/>
      <c r="V45" s="134"/>
    </row>
    <row r="46" spans="1:22" s="39" customFormat="1" ht="18.5" outlineLevel="1" x14ac:dyDescent="0.45">
      <c r="A46" s="13"/>
      <c r="B46" s="130"/>
      <c r="C46" s="130"/>
      <c r="D46" s="47" t="s">
        <v>346</v>
      </c>
      <c r="E46" s="153">
        <f>E42+(E44*E45)</f>
        <v>9.9132163385199118E-2</v>
      </c>
      <c r="F46" s="131"/>
      <c r="G46" s="130"/>
      <c r="H46" s="130"/>
      <c r="I46" s="132"/>
      <c r="J46" s="132"/>
      <c r="K46" s="132"/>
      <c r="L46" s="132"/>
      <c r="M46" s="132"/>
      <c r="N46" s="133"/>
      <c r="O46" s="133"/>
      <c r="P46" s="133"/>
      <c r="Q46" s="133"/>
      <c r="R46" s="133"/>
      <c r="S46" s="133"/>
      <c r="T46" s="133"/>
      <c r="U46" s="133"/>
      <c r="V46" s="134"/>
    </row>
    <row r="47" spans="1:22" s="39" customFormat="1" ht="18.5" outlineLevel="1" x14ac:dyDescent="0.45">
      <c r="A47" s="13"/>
      <c r="B47" s="130"/>
      <c r="C47" s="130"/>
      <c r="D47" s="130"/>
      <c r="E47" s="130"/>
      <c r="F47" s="131"/>
      <c r="G47" s="130"/>
      <c r="H47" s="130"/>
      <c r="I47" s="132"/>
      <c r="J47" s="132"/>
      <c r="K47" s="132"/>
      <c r="L47" s="132"/>
      <c r="M47" s="132"/>
      <c r="N47" s="133"/>
      <c r="O47" s="133"/>
      <c r="P47" s="133"/>
      <c r="Q47" s="133"/>
      <c r="R47" s="133"/>
      <c r="S47" s="133"/>
      <c r="T47" s="133"/>
      <c r="U47" s="133"/>
      <c r="V47" s="134"/>
    </row>
    <row r="48" spans="1:22" s="39" customFormat="1" ht="18.5" outlineLevel="1" x14ac:dyDescent="0.45">
      <c r="A48" s="13"/>
      <c r="B48" s="130"/>
      <c r="C48" s="130"/>
      <c r="D48" s="152" t="s">
        <v>347</v>
      </c>
      <c r="E48" s="154">
        <f>E29*E39+E46*E30</f>
        <v>9.721673884365542E-2</v>
      </c>
      <c r="F48" s="131"/>
      <c r="G48" s="130"/>
      <c r="H48" s="130"/>
      <c r="I48" s="132"/>
      <c r="J48" s="132"/>
      <c r="K48" s="132"/>
      <c r="L48" s="132"/>
      <c r="M48" s="132"/>
      <c r="N48" s="133"/>
      <c r="O48" s="133"/>
      <c r="P48" s="133"/>
      <c r="Q48" s="133"/>
      <c r="R48" s="133"/>
      <c r="S48" s="133"/>
      <c r="T48" s="133"/>
      <c r="U48" s="133"/>
      <c r="V48" s="134"/>
    </row>
    <row r="49" spans="1:22" s="39" customFormat="1" ht="18.5" outlineLevel="1" x14ac:dyDescent="0.45">
      <c r="A49" s="13"/>
      <c r="B49" s="130"/>
      <c r="C49" s="130"/>
      <c r="D49" s="130"/>
      <c r="E49" s="130"/>
      <c r="F49" s="131"/>
      <c r="G49" s="130"/>
      <c r="H49" s="130"/>
      <c r="I49" s="132"/>
      <c r="J49" s="132"/>
      <c r="K49" s="132"/>
      <c r="L49" s="132"/>
      <c r="M49" s="132"/>
      <c r="N49" s="133"/>
      <c r="O49" s="133"/>
      <c r="P49" s="133"/>
      <c r="Q49" s="133"/>
      <c r="R49" s="133"/>
      <c r="S49" s="133"/>
      <c r="T49" s="133"/>
      <c r="U49" s="133"/>
      <c r="V49" s="134"/>
    </row>
    <row r="50" spans="1:22" s="39" customFormat="1" ht="18.5" outlineLevel="1" x14ac:dyDescent="0.45">
      <c r="A50" s="13"/>
      <c r="B50" s="130"/>
      <c r="C50" s="130"/>
      <c r="D50" s="130"/>
      <c r="E50" s="130"/>
      <c r="F50" s="131"/>
      <c r="G50" s="130"/>
      <c r="H50" s="130"/>
      <c r="I50" s="132"/>
      <c r="J50" s="132"/>
      <c r="K50" s="132"/>
      <c r="L50" s="132"/>
      <c r="M50" s="132"/>
      <c r="N50" s="133"/>
      <c r="O50" s="133"/>
      <c r="P50" s="133"/>
      <c r="Q50" s="133"/>
      <c r="R50" s="133"/>
      <c r="S50" s="133"/>
      <c r="T50" s="133"/>
      <c r="U50" s="133"/>
      <c r="V50" s="134"/>
    </row>
    <row r="51" spans="1:22" s="39" customFormat="1" ht="18.5" outlineLevel="1" x14ac:dyDescent="0.45">
      <c r="A51" s="13"/>
      <c r="B51" s="130"/>
      <c r="C51" s="130"/>
      <c r="D51" s="130"/>
      <c r="E51" s="130"/>
      <c r="F51" s="131"/>
      <c r="G51" s="130"/>
      <c r="H51" s="130"/>
      <c r="I51" s="132"/>
      <c r="J51" s="132"/>
      <c r="K51" s="132"/>
      <c r="L51" s="132"/>
      <c r="M51" s="132"/>
      <c r="N51" s="133"/>
      <c r="O51" s="133"/>
      <c r="P51" s="133"/>
      <c r="Q51" s="133"/>
      <c r="R51" s="133"/>
      <c r="S51" s="133"/>
      <c r="T51" s="133"/>
      <c r="U51" s="133"/>
      <c r="V51" s="134"/>
    </row>
    <row r="52" spans="1:22" s="39" customFormat="1" ht="18.5" outlineLevel="1" x14ac:dyDescent="0.45">
      <c r="A52" s="13"/>
      <c r="B52" s="130"/>
      <c r="C52" s="135"/>
      <c r="D52" s="130"/>
      <c r="E52" s="130"/>
      <c r="F52" s="131"/>
      <c r="G52" s="130"/>
      <c r="H52" s="130"/>
      <c r="I52" s="132"/>
      <c r="J52" s="132"/>
      <c r="K52" s="132"/>
      <c r="L52" s="132"/>
      <c r="M52" s="132"/>
      <c r="N52" s="133"/>
      <c r="O52" s="133"/>
      <c r="P52" s="133"/>
      <c r="Q52" s="133"/>
      <c r="R52" s="133"/>
      <c r="S52" s="133"/>
      <c r="T52" s="133"/>
      <c r="U52" s="133"/>
      <c r="V52" s="134"/>
    </row>
    <row r="53" spans="1:22" s="39" customFormat="1" ht="18.5" outlineLevel="1" x14ac:dyDescent="0.45">
      <c r="A53" s="13"/>
      <c r="B53" s="130"/>
      <c r="C53" s="130"/>
      <c r="D53" s="130"/>
      <c r="E53" s="130"/>
      <c r="F53" s="131"/>
      <c r="G53" s="130"/>
      <c r="H53" s="130"/>
      <c r="I53" s="132"/>
      <c r="J53" s="132"/>
      <c r="K53" s="132"/>
      <c r="L53" s="132"/>
      <c r="M53" s="132"/>
      <c r="N53" s="133"/>
      <c r="O53" s="133"/>
      <c r="P53" s="133"/>
      <c r="Q53" s="133"/>
      <c r="R53" s="133"/>
      <c r="S53" s="133"/>
      <c r="T53" s="133"/>
      <c r="U53" s="133"/>
      <c r="V53" s="134"/>
    </row>
    <row r="54" spans="1:22" s="39" customFormat="1" ht="18.5" outlineLevel="1" x14ac:dyDescent="0.45">
      <c r="A54" s="13"/>
      <c r="B54" s="130"/>
      <c r="C54" s="130"/>
      <c r="D54" s="130"/>
      <c r="E54" s="130"/>
      <c r="F54" s="131"/>
      <c r="G54" s="130"/>
      <c r="H54" s="130"/>
      <c r="I54" s="132"/>
      <c r="J54" s="132"/>
      <c r="K54" s="132"/>
      <c r="L54" s="132"/>
      <c r="M54" s="132"/>
      <c r="N54" s="133"/>
      <c r="O54" s="133"/>
      <c r="P54" s="133"/>
      <c r="Q54" s="133"/>
      <c r="R54" s="133"/>
      <c r="S54" s="133"/>
      <c r="T54" s="133"/>
      <c r="U54" s="133"/>
      <c r="V54" s="134"/>
    </row>
    <row r="55" spans="1:22" s="39" customFormat="1" ht="18.5" outlineLevel="1" x14ac:dyDescent="0.45">
      <c r="A55" s="13"/>
      <c r="B55" s="130"/>
      <c r="C55" s="130"/>
      <c r="D55" s="130"/>
      <c r="E55" s="130"/>
      <c r="F55" s="131"/>
      <c r="G55" s="130"/>
      <c r="H55" s="130"/>
      <c r="I55" s="132"/>
      <c r="J55" s="132"/>
      <c r="K55" s="132"/>
      <c r="L55" s="132"/>
      <c r="M55" s="132"/>
      <c r="N55" s="133"/>
      <c r="O55" s="133"/>
      <c r="P55" s="133"/>
      <c r="Q55" s="133"/>
      <c r="R55" s="133"/>
      <c r="S55" s="133"/>
      <c r="T55" s="133"/>
      <c r="U55" s="133"/>
      <c r="V55" s="134"/>
    </row>
    <row r="56" spans="1:22" s="39" customFormat="1" ht="18.5" outlineLevel="1" x14ac:dyDescent="0.45">
      <c r="A56" s="13"/>
      <c r="B56" s="130"/>
      <c r="C56" s="130"/>
      <c r="D56" s="130"/>
      <c r="E56" s="130"/>
      <c r="F56" s="131"/>
      <c r="G56" s="130"/>
      <c r="H56" s="130"/>
      <c r="I56" s="132"/>
      <c r="J56" s="132"/>
      <c r="K56" s="132"/>
      <c r="L56" s="132"/>
      <c r="M56" s="132"/>
      <c r="N56" s="133"/>
      <c r="O56" s="133"/>
      <c r="P56" s="133"/>
      <c r="Q56" s="133"/>
      <c r="R56" s="133"/>
      <c r="S56" s="133"/>
      <c r="T56" s="133"/>
      <c r="U56" s="133"/>
      <c r="V56" s="134"/>
    </row>
    <row r="57" spans="1:22" s="39" customFormat="1" ht="18.5" outlineLevel="1" x14ac:dyDescent="0.45">
      <c r="A57" s="13"/>
      <c r="B57" s="130"/>
      <c r="C57" s="130"/>
      <c r="D57" s="135"/>
      <c r="E57" s="135"/>
      <c r="F57" s="136"/>
      <c r="G57" s="135"/>
      <c r="H57" s="135"/>
      <c r="I57" s="137"/>
      <c r="J57" s="137"/>
      <c r="K57" s="137"/>
      <c r="L57" s="137"/>
      <c r="M57" s="137"/>
      <c r="N57" s="133"/>
      <c r="O57" s="133"/>
      <c r="P57" s="133"/>
      <c r="Q57" s="133"/>
      <c r="R57" s="133"/>
      <c r="S57" s="133"/>
      <c r="T57" s="133"/>
      <c r="U57" s="133"/>
      <c r="V57" s="134"/>
    </row>
    <row r="58" spans="1:22" s="39" customFormat="1" ht="18.5" outlineLevel="1" x14ac:dyDescent="0.45">
      <c r="A58" s="13"/>
      <c r="B58" s="130"/>
      <c r="C58" s="130"/>
      <c r="D58" s="130"/>
      <c r="E58" s="130"/>
      <c r="F58" s="134"/>
      <c r="G58" s="130"/>
      <c r="H58" s="130"/>
      <c r="I58" s="139"/>
      <c r="J58" s="139"/>
      <c r="K58" s="139"/>
      <c r="L58" s="139"/>
      <c r="M58" s="139"/>
      <c r="N58" s="133"/>
      <c r="O58" s="133"/>
      <c r="P58" s="133"/>
      <c r="Q58" s="133"/>
      <c r="R58" s="133"/>
      <c r="S58" s="133"/>
      <c r="T58" s="133"/>
      <c r="U58" s="133"/>
      <c r="V58" s="134"/>
    </row>
    <row r="59" spans="1:22" s="39" customFormat="1" ht="18.5" outlineLevel="1" x14ac:dyDescent="0.45">
      <c r="A59" s="13"/>
      <c r="B59" s="135"/>
      <c r="C59" s="130"/>
      <c r="D59" s="130"/>
      <c r="E59" s="130"/>
      <c r="F59" s="130"/>
      <c r="G59" s="130"/>
      <c r="H59" s="130"/>
      <c r="I59" s="139"/>
      <c r="J59" s="139"/>
      <c r="K59" s="139"/>
      <c r="L59" s="139"/>
      <c r="M59" s="139"/>
      <c r="N59" s="133"/>
      <c r="O59" s="133"/>
      <c r="P59" s="133"/>
      <c r="Q59" s="133"/>
      <c r="R59" s="133"/>
      <c r="S59" s="133"/>
      <c r="T59" s="133"/>
      <c r="U59" s="133"/>
      <c r="V59" s="134"/>
    </row>
    <row r="60" spans="1:22" s="39" customFormat="1" ht="18.5" outlineLevel="1" x14ac:dyDescent="0.45">
      <c r="A60" s="13"/>
      <c r="B60" s="130"/>
      <c r="C60" s="135"/>
      <c r="D60" s="130"/>
      <c r="E60" s="130"/>
      <c r="F60" s="130"/>
      <c r="G60" s="130"/>
      <c r="H60" s="130"/>
      <c r="I60" s="139"/>
      <c r="J60" s="139"/>
      <c r="K60" s="139"/>
      <c r="L60" s="139"/>
      <c r="M60" s="139"/>
      <c r="N60" s="133"/>
      <c r="O60" s="133"/>
      <c r="P60" s="133"/>
      <c r="Q60" s="133"/>
      <c r="R60" s="133"/>
      <c r="S60" s="133"/>
      <c r="T60" s="133"/>
      <c r="U60" s="133"/>
      <c r="V60" s="134"/>
    </row>
    <row r="61" spans="1:22" s="39" customFormat="1" ht="18.5" outlineLevel="1" x14ac:dyDescent="0.45">
      <c r="A61" s="13"/>
      <c r="B61" s="130"/>
      <c r="C61" s="130"/>
      <c r="D61" s="130"/>
      <c r="E61" s="130"/>
      <c r="F61" s="131"/>
      <c r="G61" s="130"/>
      <c r="H61" s="130"/>
      <c r="I61" s="132"/>
      <c r="J61" s="132"/>
      <c r="K61" s="132"/>
      <c r="L61" s="132"/>
      <c r="M61" s="132"/>
      <c r="N61" s="133"/>
      <c r="O61" s="133"/>
      <c r="P61" s="133"/>
      <c r="Q61" s="133"/>
      <c r="R61" s="133"/>
      <c r="S61" s="133"/>
      <c r="T61" s="133"/>
      <c r="U61" s="133"/>
      <c r="V61" s="134"/>
    </row>
    <row r="62" spans="1:22" s="39" customFormat="1" ht="18.5" outlineLevel="1" x14ac:dyDescent="0.45">
      <c r="A62" s="13"/>
      <c r="B62" s="130"/>
      <c r="C62" s="130"/>
      <c r="D62" s="130"/>
      <c r="E62" s="130"/>
      <c r="F62" s="131"/>
      <c r="G62" s="130"/>
      <c r="H62" s="130"/>
      <c r="I62" s="132"/>
      <c r="J62" s="132"/>
      <c r="K62" s="132"/>
      <c r="L62" s="132"/>
      <c r="M62" s="132"/>
      <c r="N62" s="133"/>
      <c r="O62" s="133"/>
      <c r="P62" s="133"/>
      <c r="Q62" s="133"/>
      <c r="R62" s="133"/>
      <c r="S62" s="133"/>
      <c r="T62" s="133"/>
      <c r="U62" s="133"/>
      <c r="V62" s="134"/>
    </row>
    <row r="63" spans="1:22" s="39" customFormat="1" ht="18.5" outlineLevel="1" x14ac:dyDescent="0.45">
      <c r="A63" s="13"/>
      <c r="B63" s="130"/>
      <c r="C63" s="130"/>
      <c r="D63" s="130"/>
      <c r="E63" s="130"/>
      <c r="F63" s="131"/>
      <c r="G63" s="130"/>
      <c r="H63" s="130"/>
      <c r="I63" s="132"/>
      <c r="J63" s="132"/>
      <c r="K63" s="132"/>
      <c r="L63" s="132"/>
      <c r="M63" s="132"/>
      <c r="N63" s="133"/>
      <c r="O63" s="133"/>
      <c r="P63" s="133"/>
      <c r="Q63" s="133"/>
      <c r="R63" s="133"/>
      <c r="S63" s="133"/>
      <c r="T63" s="133"/>
      <c r="U63" s="133"/>
      <c r="V63" s="134"/>
    </row>
    <row r="64" spans="1:22" s="39" customFormat="1" ht="18.5" outlineLevel="1" x14ac:dyDescent="0.45">
      <c r="A64" s="13"/>
      <c r="B64" s="130"/>
      <c r="C64" s="130"/>
      <c r="D64" s="130"/>
      <c r="E64" s="130"/>
      <c r="F64" s="131"/>
      <c r="G64" s="130"/>
      <c r="H64" s="130"/>
      <c r="I64" s="132"/>
      <c r="J64" s="132"/>
      <c r="K64" s="132"/>
      <c r="L64" s="132"/>
      <c r="M64" s="132"/>
      <c r="N64" s="133"/>
      <c r="O64" s="133"/>
      <c r="P64" s="133"/>
      <c r="Q64" s="133"/>
      <c r="R64" s="133"/>
      <c r="S64" s="133"/>
      <c r="T64" s="133"/>
      <c r="U64" s="133"/>
      <c r="V64" s="134"/>
    </row>
    <row r="65" spans="1:22" s="39" customFormat="1" ht="18.5" outlineLevel="1" x14ac:dyDescent="0.45">
      <c r="A65" s="13"/>
      <c r="B65" s="130"/>
      <c r="C65" s="130"/>
      <c r="D65" s="130"/>
      <c r="E65" s="130"/>
      <c r="F65" s="131"/>
      <c r="G65" s="130"/>
      <c r="H65" s="130"/>
      <c r="I65" s="132"/>
      <c r="J65" s="132"/>
      <c r="K65" s="132"/>
      <c r="L65" s="132"/>
      <c r="M65" s="132"/>
      <c r="N65" s="133"/>
      <c r="O65" s="133"/>
      <c r="P65" s="133"/>
      <c r="Q65" s="133"/>
      <c r="R65" s="133"/>
      <c r="S65" s="133"/>
      <c r="T65" s="133"/>
      <c r="U65" s="133"/>
      <c r="V65" s="134"/>
    </row>
    <row r="66" spans="1:22" s="39" customFormat="1" ht="18.5" outlineLevel="1" x14ac:dyDescent="0.45">
      <c r="A66" s="13"/>
      <c r="B66" s="130"/>
      <c r="C66" s="130"/>
      <c r="D66" s="135"/>
      <c r="E66" s="135"/>
      <c r="F66" s="136"/>
      <c r="G66" s="135"/>
      <c r="H66" s="135"/>
      <c r="I66" s="137"/>
      <c r="J66" s="137"/>
      <c r="K66" s="137"/>
      <c r="L66" s="137"/>
      <c r="M66" s="137"/>
      <c r="N66" s="133"/>
      <c r="O66" s="133"/>
      <c r="P66" s="133"/>
      <c r="Q66" s="133"/>
      <c r="R66" s="133"/>
      <c r="S66" s="133"/>
      <c r="T66" s="133"/>
      <c r="U66" s="133"/>
      <c r="V66" s="134"/>
    </row>
    <row r="67" spans="1:22" s="39" customFormat="1" ht="18.5" outlineLevel="1" x14ac:dyDescent="0.45">
      <c r="A67" s="13"/>
      <c r="B67" s="130"/>
      <c r="C67" s="135"/>
      <c r="D67" s="130"/>
      <c r="E67" s="130"/>
      <c r="F67" s="131"/>
      <c r="G67" s="130"/>
      <c r="H67" s="130"/>
      <c r="I67" s="139"/>
      <c r="J67" s="139"/>
      <c r="K67" s="139"/>
      <c r="L67" s="139"/>
      <c r="M67" s="139"/>
      <c r="N67" s="133"/>
      <c r="O67" s="133"/>
      <c r="P67" s="133"/>
      <c r="Q67" s="133"/>
      <c r="R67" s="133"/>
      <c r="S67" s="133"/>
      <c r="T67" s="133"/>
      <c r="U67" s="133"/>
      <c r="V67" s="134"/>
    </row>
    <row r="68" spans="1:22" s="39" customFormat="1" ht="18.5" outlineLevel="1" x14ac:dyDescent="0.45">
      <c r="A68" s="13"/>
      <c r="B68" s="130"/>
      <c r="C68" s="130"/>
      <c r="D68" s="130"/>
      <c r="E68" s="130"/>
      <c r="F68" s="131"/>
      <c r="G68" s="130"/>
      <c r="H68" s="130"/>
      <c r="I68" s="132"/>
      <c r="J68" s="132"/>
      <c r="K68" s="132"/>
      <c r="L68" s="132"/>
      <c r="M68" s="132"/>
      <c r="N68" s="133"/>
      <c r="O68" s="133"/>
      <c r="P68" s="133"/>
      <c r="Q68" s="133"/>
      <c r="R68" s="133"/>
      <c r="S68" s="133"/>
      <c r="T68" s="133"/>
      <c r="U68" s="133"/>
      <c r="V68" s="134"/>
    </row>
    <row r="69" spans="1:22" s="39" customFormat="1" ht="18.5" outlineLevel="1" x14ac:dyDescent="0.45">
      <c r="A69" s="13"/>
      <c r="B69" s="130"/>
      <c r="C69" s="130"/>
      <c r="D69" s="130"/>
      <c r="E69" s="130"/>
      <c r="F69" s="131"/>
      <c r="G69" s="130"/>
      <c r="H69" s="130"/>
      <c r="I69" s="132"/>
      <c r="J69" s="132"/>
      <c r="K69" s="132"/>
      <c r="L69" s="132"/>
      <c r="M69" s="132"/>
      <c r="N69" s="133"/>
      <c r="O69" s="133"/>
      <c r="P69" s="133"/>
      <c r="Q69" s="133"/>
      <c r="R69" s="133"/>
      <c r="S69" s="133"/>
      <c r="T69" s="133"/>
      <c r="U69" s="133"/>
      <c r="V69" s="134"/>
    </row>
    <row r="70" spans="1:22" s="39" customFormat="1" ht="18.5" outlineLevel="1" x14ac:dyDescent="0.45">
      <c r="A70" s="13"/>
      <c r="B70" s="130"/>
      <c r="C70" s="130"/>
      <c r="D70" s="135"/>
      <c r="E70" s="135"/>
      <c r="F70" s="136"/>
      <c r="G70" s="135"/>
      <c r="H70" s="135"/>
      <c r="I70" s="137"/>
      <c r="J70" s="137"/>
      <c r="K70" s="137"/>
      <c r="L70" s="137"/>
      <c r="M70" s="137"/>
      <c r="N70" s="133"/>
      <c r="O70" s="133"/>
      <c r="P70" s="133"/>
      <c r="Q70" s="133"/>
      <c r="R70" s="133"/>
      <c r="S70" s="133"/>
      <c r="T70" s="133"/>
      <c r="U70" s="133"/>
      <c r="V70" s="134"/>
    </row>
    <row r="71" spans="1:22" s="39" customFormat="1" ht="18.5" outlineLevel="1" x14ac:dyDescent="0.45">
      <c r="A71" s="13"/>
      <c r="B71" s="130"/>
      <c r="C71" s="130"/>
      <c r="D71" s="130"/>
      <c r="E71" s="130"/>
      <c r="F71" s="131"/>
      <c r="G71" s="130"/>
      <c r="H71" s="130"/>
      <c r="I71" s="132"/>
      <c r="J71" s="132"/>
      <c r="K71" s="132"/>
      <c r="L71" s="132"/>
      <c r="M71" s="132"/>
      <c r="N71" s="133"/>
      <c r="O71" s="133"/>
      <c r="P71" s="133"/>
      <c r="Q71" s="133"/>
      <c r="R71" s="133"/>
      <c r="S71" s="133"/>
      <c r="T71" s="133"/>
      <c r="U71" s="133"/>
      <c r="V71" s="134"/>
    </row>
    <row r="72" spans="1:22" s="39" customFormat="1" ht="18.5" outlineLevel="1" x14ac:dyDescent="0.45">
      <c r="A72" s="13"/>
      <c r="B72" s="130"/>
      <c r="C72" s="130"/>
      <c r="D72" s="135"/>
      <c r="E72" s="135"/>
      <c r="F72" s="136"/>
      <c r="G72" s="135"/>
      <c r="H72" s="135"/>
      <c r="I72" s="137"/>
      <c r="J72" s="137"/>
      <c r="K72" s="137"/>
      <c r="L72" s="137"/>
      <c r="M72" s="137"/>
      <c r="N72" s="133"/>
      <c r="O72" s="133"/>
      <c r="P72" s="133"/>
      <c r="Q72" s="133"/>
      <c r="R72" s="133"/>
      <c r="S72" s="133"/>
      <c r="T72" s="133"/>
      <c r="U72" s="133"/>
      <c r="V72" s="134"/>
    </row>
    <row r="73" spans="1:22" s="39" customFormat="1" ht="18.5" outlineLevel="1" x14ac:dyDescent="0.45">
      <c r="A73" s="13"/>
      <c r="B73" s="130"/>
      <c r="C73" s="130"/>
      <c r="D73" s="130"/>
      <c r="E73" s="130"/>
      <c r="F73" s="130"/>
      <c r="G73" s="130"/>
      <c r="H73" s="130"/>
      <c r="I73" s="132"/>
      <c r="J73" s="132"/>
      <c r="K73" s="132"/>
      <c r="L73" s="132"/>
      <c r="M73" s="132"/>
      <c r="N73" s="133"/>
      <c r="O73" s="133"/>
      <c r="P73" s="133"/>
      <c r="Q73" s="133"/>
      <c r="R73" s="133"/>
      <c r="S73" s="133"/>
      <c r="T73" s="133"/>
      <c r="U73" s="133"/>
      <c r="V73" s="134"/>
    </row>
    <row r="74" spans="1:22" s="39" customFormat="1" ht="18.5" outlineLevel="1" x14ac:dyDescent="0.45">
      <c r="A74" s="13"/>
      <c r="B74" s="130"/>
      <c r="C74" s="130"/>
      <c r="D74" s="130"/>
      <c r="E74" s="130"/>
      <c r="F74" s="130"/>
      <c r="G74" s="130"/>
      <c r="H74" s="130"/>
      <c r="I74" s="132"/>
      <c r="J74" s="132"/>
      <c r="K74" s="132"/>
      <c r="L74" s="132"/>
      <c r="M74" s="132"/>
      <c r="N74" s="133"/>
      <c r="O74" s="133"/>
      <c r="P74" s="133"/>
      <c r="Q74" s="133"/>
      <c r="R74" s="133"/>
      <c r="S74" s="133"/>
      <c r="T74" s="133"/>
      <c r="U74" s="133"/>
      <c r="V74" s="134"/>
    </row>
    <row r="75" spans="1:22" s="39" customFormat="1" ht="18.5" outlineLevel="1" x14ac:dyDescent="0.45">
      <c r="A75" s="13"/>
      <c r="B75" s="130"/>
      <c r="C75" s="130"/>
      <c r="D75" s="130"/>
      <c r="E75" s="130"/>
      <c r="F75" s="130"/>
      <c r="G75" s="130"/>
      <c r="H75" s="130"/>
      <c r="I75" s="132"/>
      <c r="J75" s="132"/>
      <c r="K75" s="132"/>
      <c r="L75" s="132"/>
      <c r="M75" s="132"/>
      <c r="N75" s="133"/>
      <c r="O75" s="133"/>
      <c r="P75" s="133"/>
      <c r="Q75" s="133"/>
      <c r="R75" s="133"/>
      <c r="S75" s="133"/>
      <c r="T75" s="133"/>
      <c r="U75" s="133"/>
      <c r="V75" s="134"/>
    </row>
    <row r="76" spans="1:22" s="39" customFormat="1" ht="18.5" x14ac:dyDescent="0.45">
      <c r="A76" s="13"/>
      <c r="B76" s="130"/>
      <c r="C76" s="130"/>
      <c r="D76" s="130"/>
      <c r="E76" s="130"/>
      <c r="F76" s="130"/>
      <c r="G76" s="130"/>
      <c r="H76" s="130"/>
      <c r="I76" s="132"/>
      <c r="J76" s="132"/>
      <c r="K76" s="132"/>
      <c r="L76" s="132"/>
      <c r="M76" s="132"/>
      <c r="N76" s="133"/>
      <c r="O76" s="133"/>
      <c r="P76" s="133"/>
      <c r="Q76" s="133"/>
      <c r="R76" s="133"/>
      <c r="S76" s="133"/>
      <c r="T76" s="133"/>
      <c r="U76" s="133"/>
      <c r="V76" s="134"/>
    </row>
    <row r="77" spans="1:22" s="39" customFormat="1" ht="18.5" x14ac:dyDescent="0.45">
      <c r="A77" s="13"/>
      <c r="B77" s="130"/>
      <c r="C77" s="130"/>
      <c r="D77" s="130"/>
      <c r="E77" s="130"/>
      <c r="F77" s="130"/>
      <c r="G77" s="130"/>
      <c r="H77" s="130"/>
      <c r="I77" s="132"/>
      <c r="J77" s="132"/>
      <c r="K77" s="132"/>
      <c r="L77" s="132"/>
      <c r="M77" s="132"/>
      <c r="N77" s="133"/>
      <c r="O77" s="133"/>
      <c r="P77" s="133"/>
      <c r="Q77" s="133"/>
      <c r="R77" s="133"/>
      <c r="S77" s="133"/>
      <c r="T77" s="133"/>
      <c r="U77" s="133"/>
      <c r="V77" s="134"/>
    </row>
    <row r="78" spans="1:22" s="39" customFormat="1" ht="20.5" x14ac:dyDescent="0.45">
      <c r="A78" s="38"/>
      <c r="B78" s="57"/>
      <c r="C78" s="57"/>
      <c r="D78" s="57"/>
      <c r="E78" s="57"/>
      <c r="F78" s="57"/>
      <c r="G78" s="57"/>
      <c r="H78" s="57"/>
      <c r="I78" s="57"/>
      <c r="J78" s="57"/>
      <c r="K78" s="57"/>
      <c r="L78" s="57"/>
      <c r="M78" s="57"/>
      <c r="N78" s="57"/>
      <c r="O78" s="57"/>
      <c r="P78" s="57"/>
      <c r="Q78" s="57"/>
      <c r="R78" s="57"/>
      <c r="S78" s="57"/>
      <c r="T78" s="57"/>
      <c r="U78" s="57"/>
      <c r="V78" s="134"/>
    </row>
    <row r="79" spans="1:22" s="39" customFormat="1" ht="18.5" x14ac:dyDescent="0.45">
      <c r="A79" s="13"/>
      <c r="B79" s="130"/>
      <c r="C79" s="130"/>
      <c r="D79" s="130"/>
      <c r="E79" s="130"/>
      <c r="F79" s="130"/>
      <c r="G79" s="130"/>
      <c r="H79" s="130"/>
      <c r="I79" s="132"/>
      <c r="J79" s="132"/>
      <c r="K79" s="132"/>
      <c r="L79" s="132"/>
      <c r="M79" s="132"/>
      <c r="N79" s="133"/>
      <c r="O79" s="133"/>
      <c r="P79" s="133"/>
      <c r="Q79" s="133"/>
      <c r="R79" s="133"/>
      <c r="S79" s="133"/>
      <c r="T79" s="133"/>
      <c r="U79" s="133"/>
      <c r="V79" s="134"/>
    </row>
    <row r="80" spans="1:22" s="39" customFormat="1" ht="18.5" outlineLevel="1" x14ac:dyDescent="0.45">
      <c r="A80" s="13"/>
      <c r="B80" s="130"/>
      <c r="C80" s="130"/>
      <c r="D80" s="130"/>
      <c r="E80" s="130"/>
      <c r="F80" s="130"/>
      <c r="G80" s="130"/>
      <c r="H80" s="130"/>
      <c r="I80" s="132"/>
      <c r="J80" s="132"/>
      <c r="K80" s="132"/>
      <c r="L80" s="132"/>
      <c r="M80" s="132"/>
      <c r="N80" s="133"/>
      <c r="O80" s="133"/>
      <c r="P80" s="133"/>
      <c r="Q80" s="133"/>
      <c r="R80" s="133"/>
      <c r="S80" s="133"/>
      <c r="T80" s="133"/>
      <c r="U80" s="133"/>
      <c r="V80" s="134"/>
    </row>
    <row r="81" spans="1:22" s="39" customFormat="1" ht="18.5" outlineLevel="1" x14ac:dyDescent="0.45">
      <c r="A81" s="13"/>
      <c r="B81" s="130"/>
      <c r="C81" s="130"/>
      <c r="D81" s="130"/>
      <c r="E81" s="130"/>
      <c r="F81" s="131"/>
      <c r="G81" s="130"/>
      <c r="H81" s="130"/>
      <c r="I81" s="132"/>
      <c r="J81" s="132"/>
      <c r="K81" s="132"/>
      <c r="L81" s="132"/>
      <c r="M81" s="132"/>
      <c r="N81" s="133"/>
      <c r="O81" s="133"/>
      <c r="P81" s="133"/>
      <c r="Q81" s="133"/>
      <c r="R81" s="133"/>
      <c r="S81" s="133"/>
      <c r="T81" s="133"/>
      <c r="U81" s="133"/>
      <c r="V81" s="134"/>
    </row>
    <row r="82" spans="1:22" s="39" customFormat="1" ht="18.5" outlineLevel="1" x14ac:dyDescent="0.45">
      <c r="A82" s="13"/>
      <c r="B82" s="130"/>
      <c r="C82" s="130"/>
      <c r="D82" s="130"/>
      <c r="E82" s="130"/>
      <c r="F82" s="131"/>
      <c r="G82" s="130"/>
      <c r="H82" s="130"/>
      <c r="I82" s="132"/>
      <c r="J82" s="132"/>
      <c r="K82" s="132"/>
      <c r="L82" s="132"/>
      <c r="M82" s="132"/>
      <c r="N82" s="133"/>
      <c r="O82" s="133"/>
      <c r="P82" s="133"/>
      <c r="Q82" s="133"/>
      <c r="R82" s="133"/>
      <c r="S82" s="133"/>
      <c r="T82" s="133"/>
      <c r="U82" s="133"/>
      <c r="V82" s="134"/>
    </row>
    <row r="83" spans="1:22" s="39" customFormat="1" ht="18.5" outlineLevel="1" x14ac:dyDescent="0.45">
      <c r="A83" s="13"/>
      <c r="B83" s="130"/>
      <c r="C83" s="130"/>
      <c r="D83" s="130"/>
      <c r="E83" s="130"/>
      <c r="F83" s="131"/>
      <c r="G83" s="130"/>
      <c r="H83" s="130"/>
      <c r="I83" s="132"/>
      <c r="J83" s="132"/>
      <c r="K83" s="132"/>
      <c r="L83" s="132"/>
      <c r="M83" s="132"/>
      <c r="N83" s="134"/>
      <c r="O83" s="134"/>
      <c r="P83" s="134"/>
      <c r="Q83" s="134"/>
      <c r="R83" s="134"/>
      <c r="S83" s="134"/>
      <c r="T83" s="134"/>
      <c r="U83" s="134"/>
      <c r="V83" s="134"/>
    </row>
    <row r="84" spans="1:22" s="39" customFormat="1" ht="18.5" outlineLevel="1" x14ac:dyDescent="0.45">
      <c r="A84" s="13"/>
      <c r="B84" s="130"/>
      <c r="C84" s="130"/>
      <c r="D84" s="130"/>
      <c r="E84" s="130"/>
      <c r="F84" s="131"/>
      <c r="G84" s="130"/>
      <c r="H84" s="130"/>
      <c r="I84" s="129"/>
      <c r="J84" s="129"/>
      <c r="K84" s="129"/>
      <c r="L84" s="129"/>
      <c r="M84" s="129"/>
      <c r="N84" s="134"/>
      <c r="O84" s="134"/>
      <c r="P84" s="134"/>
      <c r="Q84" s="134"/>
      <c r="R84" s="134"/>
      <c r="S84" s="134"/>
      <c r="T84" s="134"/>
      <c r="U84" s="134"/>
      <c r="V84" s="134"/>
    </row>
    <row r="85" spans="1:22" s="39" customFormat="1" ht="18.5" outlineLevel="1" x14ac:dyDescent="0.45">
      <c r="A85" s="13"/>
      <c r="B85" s="130"/>
      <c r="C85" s="130"/>
      <c r="D85" s="69"/>
      <c r="E85" s="69"/>
      <c r="F85" s="140"/>
      <c r="G85" s="69"/>
      <c r="H85" s="69"/>
      <c r="I85" s="123"/>
      <c r="J85" s="123"/>
      <c r="K85" s="123"/>
      <c r="L85" s="123"/>
      <c r="M85" s="123"/>
      <c r="N85" s="134"/>
      <c r="O85" s="134"/>
      <c r="P85" s="134"/>
      <c r="Q85" s="134"/>
      <c r="R85" s="134"/>
      <c r="S85" s="134"/>
      <c r="T85" s="134"/>
      <c r="U85" s="134"/>
      <c r="V85" s="134"/>
    </row>
    <row r="86" spans="1:22" s="39" customFormat="1" ht="18.5" outlineLevel="1" x14ac:dyDescent="0.45">
      <c r="A86" s="13"/>
      <c r="B86" s="130"/>
      <c r="C86" s="130"/>
      <c r="D86" s="130"/>
      <c r="E86" s="130"/>
      <c r="F86" s="131"/>
      <c r="G86" s="130"/>
      <c r="H86" s="130"/>
      <c r="I86" s="132"/>
      <c r="J86" s="132"/>
      <c r="K86" s="132"/>
      <c r="L86" s="132"/>
      <c r="M86" s="132"/>
      <c r="N86" s="134"/>
      <c r="O86" s="134"/>
      <c r="P86" s="134"/>
      <c r="Q86" s="134"/>
      <c r="R86" s="134"/>
      <c r="S86" s="134"/>
      <c r="T86" s="134"/>
      <c r="U86" s="134"/>
      <c r="V86" s="134"/>
    </row>
    <row r="87" spans="1:22" s="39" customFormat="1" ht="18.5" outlineLevel="1" x14ac:dyDescent="0.45">
      <c r="A87" s="13"/>
      <c r="B87" s="130"/>
      <c r="C87" s="130"/>
      <c r="D87" s="130"/>
      <c r="E87" s="130"/>
      <c r="F87" s="131"/>
      <c r="G87" s="130"/>
      <c r="H87" s="130"/>
      <c r="I87" s="132"/>
      <c r="J87" s="132"/>
      <c r="K87" s="132"/>
      <c r="L87" s="132"/>
      <c r="M87" s="132"/>
      <c r="N87" s="134"/>
      <c r="O87" s="134"/>
      <c r="P87" s="134"/>
      <c r="Q87" s="134"/>
      <c r="R87" s="134"/>
      <c r="S87" s="134"/>
      <c r="T87" s="134"/>
      <c r="U87" s="134"/>
      <c r="V87" s="134"/>
    </row>
    <row r="88" spans="1:22" s="39" customFormat="1" ht="18.5" outlineLevel="1" x14ac:dyDescent="0.45">
      <c r="A88" s="13"/>
      <c r="B88" s="130"/>
      <c r="C88" s="130"/>
      <c r="D88" s="130"/>
      <c r="E88" s="130"/>
      <c r="F88" s="131"/>
      <c r="G88" s="130"/>
      <c r="H88" s="130"/>
      <c r="I88" s="132"/>
      <c r="J88" s="132"/>
      <c r="K88" s="132"/>
      <c r="L88" s="132"/>
      <c r="M88" s="132"/>
      <c r="N88" s="134"/>
      <c r="O88" s="134"/>
      <c r="P88" s="134"/>
      <c r="Q88" s="134"/>
      <c r="R88" s="134"/>
      <c r="S88" s="134"/>
      <c r="T88" s="134"/>
      <c r="U88" s="134"/>
      <c r="V88" s="134"/>
    </row>
    <row r="89" spans="1:22" s="39" customFormat="1" ht="18.5" outlineLevel="1" x14ac:dyDescent="0.45">
      <c r="A89" s="13"/>
      <c r="B89" s="130"/>
      <c r="C89" s="130"/>
      <c r="D89" s="130"/>
      <c r="E89" s="130"/>
      <c r="F89" s="131"/>
      <c r="G89" s="130"/>
      <c r="H89" s="130"/>
      <c r="I89" s="132"/>
      <c r="J89" s="132"/>
      <c r="K89" s="132"/>
      <c r="L89" s="132"/>
      <c r="M89" s="132"/>
      <c r="N89" s="134"/>
      <c r="O89" s="134"/>
      <c r="P89" s="134"/>
      <c r="Q89" s="134"/>
      <c r="R89" s="134"/>
      <c r="S89" s="134"/>
      <c r="T89" s="134"/>
      <c r="U89" s="134"/>
      <c r="V89" s="134"/>
    </row>
    <row r="90" spans="1:22" s="39" customFormat="1" ht="18.5" outlineLevel="1" x14ac:dyDescent="0.45">
      <c r="A90" s="13"/>
      <c r="B90" s="130"/>
      <c r="C90" s="130"/>
      <c r="D90" s="130"/>
      <c r="E90" s="130"/>
      <c r="F90" s="131"/>
      <c r="G90" s="130"/>
      <c r="H90" s="130"/>
      <c r="I90" s="132"/>
      <c r="J90" s="132"/>
      <c r="K90" s="132"/>
      <c r="L90" s="132"/>
      <c r="M90" s="132"/>
      <c r="N90" s="134"/>
      <c r="O90" s="134"/>
      <c r="P90" s="134"/>
      <c r="Q90" s="134"/>
      <c r="R90" s="134"/>
      <c r="S90" s="134"/>
      <c r="T90" s="134"/>
      <c r="U90" s="134"/>
      <c r="V90" s="134"/>
    </row>
    <row r="91" spans="1:22" s="39" customFormat="1" ht="18.5" outlineLevel="1" x14ac:dyDescent="0.45">
      <c r="A91" s="13"/>
      <c r="B91" s="130"/>
      <c r="C91" s="130"/>
      <c r="D91" s="54"/>
      <c r="E91" s="130"/>
      <c r="F91" s="131"/>
      <c r="G91" s="130"/>
      <c r="H91" s="130"/>
      <c r="I91" s="132"/>
      <c r="J91" s="132"/>
      <c r="K91" s="132"/>
      <c r="L91" s="132"/>
      <c r="M91" s="132"/>
      <c r="N91" s="134"/>
      <c r="O91" s="134"/>
      <c r="P91" s="134"/>
      <c r="Q91" s="134"/>
      <c r="R91" s="134"/>
      <c r="S91" s="134"/>
      <c r="T91" s="134"/>
      <c r="U91" s="134"/>
      <c r="V91" s="134"/>
    </row>
    <row r="92" spans="1:22" s="39" customFormat="1" ht="18.5" outlineLevel="1" x14ac:dyDescent="0.45">
      <c r="A92" s="13"/>
      <c r="B92" s="130"/>
      <c r="C92" s="130"/>
      <c r="D92" s="54"/>
      <c r="E92" s="130"/>
      <c r="F92" s="131"/>
      <c r="G92" s="130"/>
      <c r="H92" s="130"/>
      <c r="I92" s="132"/>
      <c r="J92" s="132"/>
      <c r="K92" s="132"/>
      <c r="L92" s="132"/>
      <c r="M92" s="132"/>
      <c r="N92" s="134"/>
      <c r="O92" s="134"/>
      <c r="P92" s="134"/>
      <c r="Q92" s="134"/>
      <c r="R92" s="134"/>
      <c r="S92" s="134"/>
      <c r="T92" s="134"/>
      <c r="U92" s="134"/>
      <c r="V92" s="134"/>
    </row>
    <row r="93" spans="1:22" s="39" customFormat="1" ht="18.5" outlineLevel="1" x14ac:dyDescent="0.45">
      <c r="A93" s="13"/>
      <c r="B93" s="130"/>
      <c r="C93" s="130"/>
      <c r="D93" s="54"/>
      <c r="E93" s="130"/>
      <c r="F93" s="131"/>
      <c r="G93" s="130"/>
      <c r="H93" s="130"/>
      <c r="I93" s="132"/>
      <c r="J93" s="132"/>
      <c r="K93" s="132"/>
      <c r="L93" s="132"/>
      <c r="M93" s="132"/>
      <c r="N93" s="134"/>
      <c r="O93" s="134"/>
      <c r="P93" s="134"/>
      <c r="Q93" s="134"/>
      <c r="R93" s="134"/>
      <c r="S93" s="134"/>
      <c r="T93" s="134"/>
      <c r="U93" s="134"/>
      <c r="V93" s="134"/>
    </row>
    <row r="94" spans="1:22" s="39" customFormat="1" ht="18.5" outlineLevel="1" x14ac:dyDescent="0.45">
      <c r="A94" s="13"/>
      <c r="B94" s="130"/>
      <c r="C94" s="130"/>
      <c r="D94" s="69"/>
      <c r="E94" s="69"/>
      <c r="F94" s="140"/>
      <c r="G94" s="69"/>
      <c r="H94" s="69"/>
      <c r="I94" s="123"/>
      <c r="J94" s="123"/>
      <c r="K94" s="123"/>
      <c r="L94" s="123"/>
      <c r="M94" s="123"/>
      <c r="N94" s="134"/>
      <c r="O94" s="134"/>
      <c r="P94" s="134"/>
      <c r="Q94" s="134"/>
      <c r="R94" s="134"/>
      <c r="S94" s="134"/>
      <c r="T94" s="134"/>
      <c r="U94" s="134"/>
      <c r="V94" s="134"/>
    </row>
    <row r="95" spans="1:22" s="39" customFormat="1" ht="18.5" outlineLevel="1" x14ac:dyDescent="0.45">
      <c r="A95" s="13"/>
      <c r="B95" s="130"/>
      <c r="C95" s="130"/>
      <c r="D95" s="130"/>
      <c r="E95" s="130"/>
      <c r="F95" s="130"/>
      <c r="G95" s="130"/>
      <c r="H95" s="130"/>
      <c r="I95" s="132"/>
      <c r="J95" s="132"/>
      <c r="K95" s="132"/>
      <c r="L95" s="132"/>
      <c r="M95" s="132"/>
      <c r="N95" s="134"/>
      <c r="O95" s="134"/>
      <c r="P95" s="134"/>
      <c r="Q95" s="134"/>
      <c r="R95" s="134"/>
      <c r="S95" s="134"/>
      <c r="T95" s="134"/>
      <c r="U95" s="134"/>
      <c r="V95" s="134"/>
    </row>
    <row r="96" spans="1:22" s="39" customFormat="1" ht="18.5" outlineLevel="1" x14ac:dyDescent="0.45">
      <c r="A96" s="13"/>
      <c r="B96" s="130"/>
      <c r="C96" s="130"/>
      <c r="D96" s="130"/>
      <c r="E96" s="130"/>
      <c r="F96" s="130"/>
      <c r="G96" s="130"/>
      <c r="H96" s="130"/>
      <c r="I96" s="132"/>
      <c r="J96" s="132"/>
      <c r="K96" s="132"/>
      <c r="L96" s="132"/>
      <c r="M96" s="132"/>
      <c r="N96" s="134"/>
      <c r="O96" s="134"/>
      <c r="P96" s="134"/>
      <c r="Q96" s="134"/>
      <c r="R96" s="134"/>
      <c r="S96" s="134"/>
      <c r="T96" s="134"/>
      <c r="U96" s="134"/>
      <c r="V96" s="134"/>
    </row>
    <row r="97" spans="1:22" s="39" customFormat="1" ht="18.5" outlineLevel="1" x14ac:dyDescent="0.45">
      <c r="A97" s="13"/>
      <c r="B97" s="130"/>
      <c r="C97" s="130"/>
      <c r="D97" s="130"/>
      <c r="E97" s="130"/>
      <c r="F97" s="131"/>
      <c r="G97" s="130"/>
      <c r="H97" s="130"/>
      <c r="I97" s="132"/>
      <c r="J97" s="132"/>
      <c r="K97" s="132"/>
      <c r="L97" s="132"/>
      <c r="M97" s="132"/>
      <c r="N97" s="134"/>
      <c r="O97" s="134"/>
      <c r="P97" s="134"/>
      <c r="Q97" s="134"/>
      <c r="R97" s="134"/>
      <c r="S97" s="134"/>
      <c r="T97" s="134"/>
      <c r="U97" s="134"/>
      <c r="V97" s="134"/>
    </row>
    <row r="98" spans="1:22" s="39" customFormat="1" ht="18.5" outlineLevel="1" x14ac:dyDescent="0.45">
      <c r="A98" s="13"/>
      <c r="B98" s="130"/>
      <c r="C98" s="130"/>
      <c r="D98" s="130"/>
      <c r="E98" s="130"/>
      <c r="F98" s="131"/>
      <c r="G98" s="130"/>
      <c r="H98" s="130"/>
      <c r="I98" s="132"/>
      <c r="J98" s="132"/>
      <c r="K98" s="132"/>
      <c r="L98" s="132"/>
      <c r="M98" s="132"/>
      <c r="N98" s="134"/>
      <c r="O98" s="134"/>
      <c r="P98" s="134"/>
      <c r="Q98" s="134"/>
      <c r="R98" s="134"/>
      <c r="S98" s="134"/>
      <c r="T98" s="134"/>
      <c r="U98" s="134"/>
      <c r="V98" s="134"/>
    </row>
    <row r="99" spans="1:22" s="39" customFormat="1" ht="18.5" outlineLevel="1" x14ac:dyDescent="0.45">
      <c r="A99" s="13"/>
      <c r="B99" s="130"/>
      <c r="C99" s="130"/>
      <c r="D99" s="130"/>
      <c r="E99" s="130"/>
      <c r="F99" s="131"/>
      <c r="G99" s="130"/>
      <c r="H99" s="130"/>
      <c r="I99" s="132"/>
      <c r="J99" s="132"/>
      <c r="K99" s="132"/>
      <c r="L99" s="132"/>
      <c r="M99" s="132"/>
      <c r="N99" s="134"/>
      <c r="O99" s="134"/>
      <c r="P99" s="134"/>
      <c r="Q99" s="134"/>
      <c r="R99" s="134"/>
      <c r="S99" s="134"/>
      <c r="T99" s="134"/>
      <c r="U99" s="134"/>
      <c r="V99" s="134"/>
    </row>
    <row r="100" spans="1:22" s="39" customFormat="1" ht="18.5" outlineLevel="1" x14ac:dyDescent="0.45">
      <c r="A100" s="13"/>
      <c r="B100" s="130"/>
      <c r="C100" s="130"/>
      <c r="D100" s="130"/>
      <c r="E100" s="130"/>
      <c r="F100" s="131"/>
      <c r="G100" s="130"/>
      <c r="H100" s="130"/>
      <c r="I100" s="132"/>
      <c r="J100" s="132"/>
      <c r="K100" s="132"/>
      <c r="L100" s="132"/>
      <c r="M100" s="132"/>
      <c r="N100" s="134"/>
      <c r="O100" s="134"/>
      <c r="P100" s="134"/>
      <c r="Q100" s="134"/>
      <c r="R100" s="134"/>
      <c r="S100" s="134"/>
      <c r="T100" s="134"/>
      <c r="U100" s="134"/>
      <c r="V100" s="134"/>
    </row>
    <row r="101" spans="1:22" s="39" customFormat="1" ht="18.5" outlineLevel="1" x14ac:dyDescent="0.45">
      <c r="A101" s="13"/>
      <c r="B101" s="130"/>
      <c r="C101" s="130"/>
      <c r="D101" s="69"/>
      <c r="E101" s="69"/>
      <c r="F101" s="140"/>
      <c r="G101" s="69"/>
      <c r="H101" s="69"/>
      <c r="I101" s="123"/>
      <c r="J101" s="123"/>
      <c r="K101" s="123"/>
      <c r="L101" s="123"/>
      <c r="M101" s="123"/>
      <c r="N101" s="134"/>
      <c r="O101" s="134"/>
      <c r="P101" s="134"/>
      <c r="Q101" s="134"/>
      <c r="R101" s="134"/>
      <c r="S101" s="134"/>
      <c r="T101" s="134"/>
      <c r="U101" s="134"/>
      <c r="V101" s="134"/>
    </row>
    <row r="102" spans="1:22" s="39" customFormat="1" ht="18.5" outlineLevel="1" x14ac:dyDescent="0.45">
      <c r="A102" s="13"/>
      <c r="B102" s="130"/>
      <c r="C102" s="130"/>
      <c r="D102" s="130"/>
      <c r="E102" s="130"/>
      <c r="F102" s="130"/>
      <c r="G102" s="130"/>
      <c r="H102" s="130"/>
      <c r="I102" s="132"/>
      <c r="J102" s="132"/>
      <c r="K102" s="132"/>
      <c r="L102" s="132"/>
      <c r="M102" s="132"/>
      <c r="N102" s="134"/>
      <c r="O102" s="134"/>
      <c r="P102" s="134"/>
      <c r="Q102" s="134"/>
      <c r="R102" s="134"/>
      <c r="S102" s="134"/>
      <c r="T102" s="134"/>
      <c r="U102" s="134"/>
      <c r="V102" s="134"/>
    </row>
    <row r="103" spans="1:22" s="39" customFormat="1" ht="18.5" outlineLevel="1" x14ac:dyDescent="0.45">
      <c r="A103" s="13"/>
      <c r="B103" s="130"/>
      <c r="C103" s="134"/>
      <c r="D103" s="130"/>
      <c r="E103" s="130"/>
      <c r="F103" s="131"/>
      <c r="G103" s="130"/>
      <c r="H103" s="130"/>
      <c r="I103" s="129"/>
      <c r="J103" s="129"/>
      <c r="K103" s="129"/>
      <c r="L103" s="129"/>
      <c r="M103" s="129"/>
      <c r="N103" s="134"/>
      <c r="O103" s="134"/>
      <c r="P103" s="134"/>
      <c r="Q103" s="134"/>
      <c r="R103" s="134"/>
      <c r="S103" s="134"/>
      <c r="T103" s="134"/>
      <c r="U103" s="134"/>
      <c r="V103" s="134"/>
    </row>
    <row r="104" spans="1:22" s="39" customFormat="1" ht="18.5" outlineLevel="1" x14ac:dyDescent="0.45">
      <c r="A104" s="13"/>
      <c r="B104" s="130"/>
      <c r="C104" s="130"/>
      <c r="D104" s="130"/>
      <c r="E104" s="130"/>
      <c r="F104" s="131"/>
      <c r="G104" s="130"/>
      <c r="H104" s="130"/>
      <c r="I104" s="132"/>
      <c r="J104" s="132"/>
      <c r="K104" s="132"/>
      <c r="L104" s="132"/>
      <c r="M104" s="132"/>
      <c r="N104" s="134"/>
      <c r="O104" s="134"/>
      <c r="P104" s="134"/>
      <c r="Q104" s="134"/>
      <c r="R104" s="134"/>
      <c r="S104" s="134"/>
      <c r="T104" s="134"/>
      <c r="U104" s="134"/>
      <c r="V104" s="134"/>
    </row>
    <row r="105" spans="1:22" s="39" customFormat="1" ht="18.5" outlineLevel="1" x14ac:dyDescent="0.45">
      <c r="A105" s="13"/>
      <c r="B105" s="130"/>
      <c r="C105" s="130"/>
      <c r="D105" s="135"/>
      <c r="E105" s="135"/>
      <c r="F105" s="136"/>
      <c r="G105" s="135"/>
      <c r="H105" s="135"/>
      <c r="I105" s="123"/>
      <c r="J105" s="123"/>
      <c r="K105" s="123"/>
      <c r="L105" s="123"/>
      <c r="M105" s="123"/>
      <c r="N105" s="134"/>
      <c r="O105" s="134"/>
      <c r="P105" s="134"/>
      <c r="Q105" s="134"/>
      <c r="R105" s="134"/>
      <c r="S105" s="134"/>
      <c r="T105" s="134"/>
      <c r="U105" s="134"/>
      <c r="V105" s="134"/>
    </row>
    <row r="106" spans="1:22" s="39" customFormat="1" ht="18.5" outlineLevel="1" x14ac:dyDescent="0.45">
      <c r="A106" s="13"/>
      <c r="B106" s="130"/>
      <c r="C106" s="130"/>
      <c r="D106" s="130"/>
      <c r="E106" s="130"/>
      <c r="F106" s="130"/>
      <c r="G106" s="130"/>
      <c r="H106" s="130"/>
      <c r="I106" s="132"/>
      <c r="J106" s="132"/>
      <c r="K106" s="132"/>
      <c r="L106" s="132"/>
      <c r="M106" s="132"/>
      <c r="N106" s="134"/>
      <c r="O106" s="134"/>
      <c r="P106" s="134"/>
      <c r="Q106" s="134"/>
      <c r="R106" s="134"/>
      <c r="S106" s="134"/>
      <c r="T106" s="134"/>
      <c r="U106" s="134"/>
      <c r="V106" s="134"/>
    </row>
    <row r="107" spans="1:22" s="39" customFormat="1" ht="18.5" x14ac:dyDescent="0.45">
      <c r="A107" s="13"/>
      <c r="B107" s="130"/>
      <c r="C107" s="130"/>
      <c r="D107" s="130"/>
      <c r="E107" s="130"/>
      <c r="F107" s="130"/>
      <c r="G107" s="130"/>
      <c r="H107" s="130"/>
      <c r="I107" s="132"/>
      <c r="J107" s="132"/>
      <c r="K107" s="132"/>
      <c r="L107" s="132"/>
      <c r="M107" s="132"/>
      <c r="N107" s="134"/>
      <c r="O107" s="134"/>
      <c r="P107" s="134"/>
      <c r="Q107" s="134"/>
      <c r="R107" s="134"/>
      <c r="S107" s="134"/>
      <c r="T107" s="134"/>
      <c r="U107" s="134"/>
      <c r="V107" s="134"/>
    </row>
    <row r="108" spans="1:22" s="39" customFormat="1" ht="18.5" x14ac:dyDescent="0.45">
      <c r="A108" s="13"/>
      <c r="B108" s="130"/>
      <c r="C108" s="130"/>
      <c r="D108" s="130"/>
      <c r="E108" s="130"/>
      <c r="F108" s="130"/>
      <c r="G108" s="130"/>
      <c r="H108" s="130"/>
      <c r="I108" s="132"/>
      <c r="J108" s="132"/>
      <c r="K108" s="132"/>
      <c r="L108" s="132"/>
      <c r="M108" s="132"/>
      <c r="N108" s="134"/>
      <c r="O108" s="134"/>
      <c r="P108" s="134"/>
      <c r="Q108" s="134"/>
      <c r="R108" s="134"/>
      <c r="S108" s="134"/>
      <c r="T108" s="134"/>
      <c r="U108" s="134"/>
      <c r="V108" s="134"/>
    </row>
    <row r="109" spans="1:22" s="39" customFormat="1" ht="20.5" x14ac:dyDescent="0.45">
      <c r="A109" s="38"/>
      <c r="B109" s="57"/>
      <c r="C109" s="57"/>
      <c r="D109" s="57"/>
      <c r="E109" s="57"/>
      <c r="F109" s="57"/>
      <c r="G109" s="57"/>
      <c r="H109" s="57"/>
      <c r="I109" s="57"/>
      <c r="J109" s="57"/>
      <c r="K109" s="57"/>
      <c r="L109" s="57"/>
      <c r="M109" s="57"/>
      <c r="N109" s="57"/>
      <c r="O109" s="57"/>
      <c r="P109" s="57"/>
      <c r="Q109" s="57"/>
      <c r="R109" s="57"/>
      <c r="S109" s="57"/>
      <c r="T109" s="57"/>
      <c r="U109" s="57"/>
      <c r="V109" s="134"/>
    </row>
    <row r="110" spans="1:22" s="39" customFormat="1" ht="18.5" x14ac:dyDescent="0.45">
      <c r="A110" s="13"/>
      <c r="B110" s="130"/>
      <c r="C110" s="130"/>
      <c r="D110" s="130"/>
      <c r="E110" s="130"/>
      <c r="F110" s="130"/>
      <c r="G110" s="130"/>
      <c r="H110" s="130"/>
      <c r="I110" s="132"/>
      <c r="J110" s="132"/>
      <c r="K110" s="132"/>
      <c r="L110" s="132"/>
      <c r="M110" s="132"/>
      <c r="N110" s="134"/>
      <c r="O110" s="134"/>
      <c r="P110" s="134"/>
      <c r="Q110" s="134"/>
      <c r="R110" s="134"/>
      <c r="S110" s="134"/>
      <c r="T110" s="134"/>
      <c r="U110" s="134"/>
      <c r="V110" s="134"/>
    </row>
    <row r="111" spans="1:22" s="39" customFormat="1" ht="18.5" x14ac:dyDescent="0.45">
      <c r="A111" s="13"/>
      <c r="B111" s="130"/>
      <c r="C111" s="135"/>
      <c r="D111" s="130"/>
      <c r="E111" s="130"/>
      <c r="F111" s="130"/>
      <c r="G111" s="130"/>
      <c r="H111" s="130"/>
      <c r="I111" s="132"/>
      <c r="J111" s="132"/>
      <c r="K111" s="132"/>
      <c r="L111" s="132"/>
      <c r="M111" s="132"/>
      <c r="N111" s="134"/>
      <c r="O111" s="134"/>
      <c r="P111" s="134"/>
      <c r="Q111" s="134"/>
      <c r="R111" s="134"/>
      <c r="S111" s="134"/>
      <c r="T111" s="134"/>
      <c r="U111" s="134"/>
      <c r="V111" s="134"/>
    </row>
    <row r="112" spans="1:22" s="39" customFormat="1" ht="18.5" x14ac:dyDescent="0.45">
      <c r="A112" s="13"/>
      <c r="B112" s="130"/>
      <c r="C112" s="130"/>
      <c r="D112" s="130"/>
      <c r="E112" s="130"/>
      <c r="F112" s="131"/>
      <c r="G112" s="130"/>
      <c r="H112" s="130"/>
      <c r="I112" s="132"/>
      <c r="J112" s="132"/>
      <c r="K112" s="132"/>
      <c r="L112" s="132"/>
      <c r="M112" s="132"/>
      <c r="N112" s="134"/>
      <c r="O112" s="134"/>
      <c r="P112" s="134"/>
      <c r="Q112" s="134"/>
      <c r="R112" s="134"/>
      <c r="S112" s="134"/>
      <c r="T112" s="134"/>
      <c r="U112" s="134"/>
      <c r="V112" s="134"/>
    </row>
    <row r="113" spans="1:22" s="39" customFormat="1" ht="18.5" x14ac:dyDescent="0.45">
      <c r="A113" s="13"/>
      <c r="B113" s="130"/>
      <c r="C113" s="130"/>
      <c r="D113" s="130"/>
      <c r="E113" s="130"/>
      <c r="F113" s="131"/>
      <c r="G113" s="130"/>
      <c r="H113" s="130"/>
      <c r="I113" s="132"/>
      <c r="J113" s="132"/>
      <c r="K113" s="132"/>
      <c r="L113" s="132"/>
      <c r="M113" s="132"/>
      <c r="N113" s="134"/>
      <c r="O113" s="134"/>
      <c r="P113" s="134"/>
      <c r="Q113" s="134"/>
      <c r="R113" s="134"/>
      <c r="S113" s="134"/>
      <c r="T113" s="134"/>
      <c r="U113" s="134"/>
      <c r="V113" s="134"/>
    </row>
    <row r="114" spans="1:22" s="39" customFormat="1" ht="18.5" x14ac:dyDescent="0.45">
      <c r="A114" s="13"/>
      <c r="B114" s="130"/>
      <c r="C114" s="130"/>
      <c r="D114" s="130"/>
      <c r="E114" s="130"/>
      <c r="F114" s="131"/>
      <c r="G114" s="130"/>
      <c r="H114" s="130"/>
      <c r="I114" s="132"/>
      <c r="J114" s="132"/>
      <c r="K114" s="132"/>
      <c r="L114" s="132"/>
      <c r="M114" s="132"/>
      <c r="N114" s="134"/>
      <c r="O114" s="134"/>
      <c r="P114" s="134"/>
      <c r="Q114" s="134"/>
      <c r="R114" s="134"/>
      <c r="S114" s="134"/>
      <c r="T114" s="134"/>
      <c r="U114" s="134"/>
      <c r="V114" s="134"/>
    </row>
    <row r="115" spans="1:22" s="39" customFormat="1" ht="18.5" x14ac:dyDescent="0.45">
      <c r="A115" s="13"/>
      <c r="B115" s="130"/>
      <c r="C115" s="130"/>
      <c r="D115" s="130"/>
      <c r="E115" s="130"/>
      <c r="F115" s="131"/>
      <c r="G115" s="130"/>
      <c r="H115" s="130"/>
      <c r="I115" s="132"/>
      <c r="J115" s="132"/>
      <c r="K115" s="132"/>
      <c r="L115" s="132"/>
      <c r="M115" s="132"/>
      <c r="N115" s="134"/>
      <c r="O115" s="134"/>
      <c r="P115" s="134"/>
      <c r="Q115" s="134"/>
      <c r="R115" s="134"/>
      <c r="S115" s="134"/>
      <c r="T115" s="134"/>
      <c r="U115" s="134"/>
      <c r="V115" s="134"/>
    </row>
    <row r="116" spans="1:22" s="39" customFormat="1" ht="18.5" x14ac:dyDescent="0.45">
      <c r="A116" s="13"/>
      <c r="B116" s="130"/>
      <c r="C116" s="130"/>
      <c r="D116" s="69"/>
      <c r="E116" s="69"/>
      <c r="F116" s="140"/>
      <c r="G116" s="69"/>
      <c r="H116" s="69"/>
      <c r="I116" s="123"/>
      <c r="J116" s="123"/>
      <c r="K116" s="123"/>
      <c r="L116" s="123"/>
      <c r="M116" s="123"/>
      <c r="N116" s="134"/>
      <c r="O116" s="134"/>
      <c r="P116" s="134"/>
      <c r="Q116" s="134"/>
      <c r="R116" s="134"/>
      <c r="S116" s="134"/>
      <c r="T116" s="134"/>
      <c r="U116" s="134"/>
      <c r="V116" s="134"/>
    </row>
    <row r="117" spans="1:22" s="39" customFormat="1" ht="18.5" x14ac:dyDescent="0.45">
      <c r="A117" s="13"/>
      <c r="B117" s="130"/>
      <c r="C117" s="130"/>
      <c r="D117" s="130"/>
      <c r="E117" s="130"/>
      <c r="F117" s="131"/>
      <c r="G117" s="130"/>
      <c r="H117" s="130"/>
      <c r="I117" s="132"/>
      <c r="J117" s="132"/>
      <c r="K117" s="132"/>
      <c r="L117" s="132"/>
      <c r="M117" s="132"/>
      <c r="N117" s="134"/>
      <c r="O117" s="134"/>
      <c r="P117" s="134"/>
      <c r="Q117" s="134"/>
      <c r="R117" s="134"/>
      <c r="S117" s="134"/>
      <c r="T117" s="134"/>
      <c r="U117" s="134"/>
      <c r="V117" s="134"/>
    </row>
    <row r="118" spans="1:22" s="39" customFormat="1" ht="18.5" x14ac:dyDescent="0.45">
      <c r="A118" s="13"/>
      <c r="B118" s="130"/>
      <c r="C118" s="130"/>
      <c r="D118" s="130"/>
      <c r="E118" s="130"/>
      <c r="F118" s="134"/>
      <c r="G118" s="130"/>
      <c r="H118" s="130"/>
      <c r="I118" s="132"/>
      <c r="J118" s="132"/>
      <c r="K118" s="132"/>
      <c r="L118" s="132"/>
      <c r="M118" s="132"/>
      <c r="N118" s="134"/>
      <c r="O118" s="134"/>
      <c r="P118" s="134"/>
      <c r="Q118" s="134"/>
      <c r="R118" s="134"/>
      <c r="S118" s="134"/>
      <c r="T118" s="134"/>
      <c r="U118" s="134"/>
      <c r="V118" s="134"/>
    </row>
    <row r="119" spans="1:22" s="39" customFormat="1" ht="18.5" x14ac:dyDescent="0.45">
      <c r="A119" s="13"/>
      <c r="B119" s="130"/>
      <c r="C119" s="130"/>
      <c r="D119" s="130"/>
      <c r="E119" s="130"/>
      <c r="F119" s="131"/>
      <c r="G119" s="130"/>
      <c r="H119" s="130"/>
      <c r="I119" s="132"/>
      <c r="J119" s="132"/>
      <c r="K119" s="132"/>
      <c r="L119" s="132"/>
      <c r="M119" s="132"/>
      <c r="N119" s="134"/>
      <c r="O119" s="134"/>
      <c r="P119" s="134"/>
      <c r="Q119" s="134"/>
      <c r="R119" s="134"/>
      <c r="S119" s="134"/>
      <c r="T119" s="134"/>
      <c r="U119" s="134"/>
      <c r="V119" s="134"/>
    </row>
    <row r="120" spans="1:22" s="39" customFormat="1" ht="18.5" x14ac:dyDescent="0.45">
      <c r="A120" s="13"/>
      <c r="B120" s="130"/>
      <c r="C120" s="130"/>
      <c r="D120" s="130"/>
      <c r="E120" s="130"/>
      <c r="F120" s="131"/>
      <c r="G120" s="130"/>
      <c r="H120" s="130"/>
      <c r="I120" s="132"/>
      <c r="J120" s="132"/>
      <c r="K120" s="132"/>
      <c r="L120" s="132"/>
      <c r="M120" s="132"/>
      <c r="N120" s="134"/>
      <c r="O120" s="134"/>
      <c r="P120" s="134"/>
      <c r="Q120" s="134"/>
      <c r="R120" s="134"/>
      <c r="S120" s="134"/>
      <c r="T120" s="134"/>
      <c r="U120" s="134"/>
      <c r="V120" s="134"/>
    </row>
    <row r="121" spans="1:22" s="39" customFormat="1" ht="18.5" x14ac:dyDescent="0.45">
      <c r="A121" s="13"/>
      <c r="B121" s="130"/>
      <c r="C121" s="130"/>
      <c r="D121" s="130"/>
      <c r="E121" s="130"/>
      <c r="F121" s="131"/>
      <c r="G121" s="130"/>
      <c r="H121" s="130"/>
      <c r="I121" s="132"/>
      <c r="J121" s="132"/>
      <c r="K121" s="132"/>
      <c r="L121" s="132"/>
      <c r="M121" s="132"/>
      <c r="N121" s="134"/>
      <c r="O121" s="134"/>
      <c r="P121" s="134"/>
      <c r="Q121" s="134"/>
      <c r="R121" s="134"/>
      <c r="S121" s="134"/>
      <c r="T121" s="134"/>
      <c r="U121" s="134"/>
      <c r="V121" s="134"/>
    </row>
    <row r="122" spans="1:22" s="39" customFormat="1" ht="18.5" x14ac:dyDescent="0.45">
      <c r="A122" s="13"/>
      <c r="B122" s="130"/>
      <c r="C122" s="130"/>
      <c r="D122" s="135"/>
      <c r="E122" s="135"/>
      <c r="F122" s="140"/>
      <c r="G122" s="135"/>
      <c r="H122" s="135"/>
      <c r="I122" s="123"/>
      <c r="J122" s="123"/>
      <c r="K122" s="123"/>
      <c r="L122" s="123"/>
      <c r="M122" s="123"/>
      <c r="N122" s="134"/>
      <c r="O122" s="134"/>
      <c r="P122" s="134"/>
      <c r="Q122" s="134"/>
      <c r="R122" s="134"/>
      <c r="S122" s="134"/>
      <c r="T122" s="134"/>
      <c r="U122" s="134"/>
      <c r="V122" s="134"/>
    </row>
    <row r="123" spans="1:22" s="39" customFormat="1" ht="18.5" x14ac:dyDescent="0.45">
      <c r="A123" s="13"/>
      <c r="B123" s="130"/>
      <c r="C123" s="130"/>
      <c r="D123" s="130"/>
      <c r="E123" s="130"/>
      <c r="F123" s="130"/>
      <c r="G123" s="130"/>
      <c r="H123" s="130"/>
      <c r="I123" s="132"/>
      <c r="J123" s="132"/>
      <c r="K123" s="132"/>
      <c r="L123" s="132"/>
      <c r="M123" s="132"/>
      <c r="N123" s="134"/>
      <c r="O123" s="134"/>
      <c r="P123" s="134"/>
      <c r="Q123" s="134"/>
      <c r="R123" s="134"/>
      <c r="S123" s="134"/>
      <c r="T123" s="134"/>
      <c r="U123" s="134"/>
      <c r="V123" s="134"/>
    </row>
    <row r="124" spans="1:22" s="39" customFormat="1" ht="18.5" x14ac:dyDescent="0.45">
      <c r="A124" s="13"/>
      <c r="B124" s="130"/>
      <c r="C124" s="130"/>
      <c r="D124" s="130"/>
      <c r="E124" s="130"/>
      <c r="F124" s="130"/>
      <c r="G124" s="130"/>
      <c r="H124" s="130"/>
      <c r="I124" s="132"/>
      <c r="J124" s="132"/>
      <c r="K124" s="132"/>
      <c r="L124" s="132"/>
      <c r="M124" s="132"/>
      <c r="N124" s="134"/>
      <c r="O124" s="134"/>
      <c r="P124" s="134"/>
      <c r="Q124" s="134"/>
      <c r="R124" s="134"/>
      <c r="S124" s="134"/>
      <c r="T124" s="134"/>
      <c r="U124" s="134"/>
      <c r="V124" s="134"/>
    </row>
    <row r="125" spans="1:22" s="39" customFormat="1" ht="18.5" x14ac:dyDescent="0.45">
      <c r="A125" s="13"/>
      <c r="B125" s="130"/>
      <c r="C125" s="130"/>
      <c r="D125" s="130"/>
      <c r="E125" s="130"/>
      <c r="F125" s="131"/>
      <c r="G125" s="130"/>
      <c r="H125" s="130"/>
      <c r="I125" s="132"/>
      <c r="J125" s="132"/>
      <c r="K125" s="132"/>
      <c r="L125" s="132"/>
      <c r="M125" s="132"/>
      <c r="N125" s="134"/>
      <c r="O125" s="134"/>
      <c r="P125" s="134"/>
      <c r="Q125" s="134"/>
      <c r="R125" s="134"/>
      <c r="S125" s="134"/>
      <c r="T125" s="134"/>
      <c r="U125" s="134"/>
      <c r="V125" s="134"/>
    </row>
    <row r="126" spans="1:22" s="39" customFormat="1" ht="18.5" x14ac:dyDescent="0.45">
      <c r="A126" s="13"/>
      <c r="B126" s="130"/>
      <c r="C126" s="130"/>
      <c r="D126" s="130"/>
      <c r="E126" s="130"/>
      <c r="F126" s="131"/>
      <c r="G126" s="130"/>
      <c r="H126" s="130"/>
      <c r="I126" s="132"/>
      <c r="J126" s="132"/>
      <c r="K126" s="132"/>
      <c r="L126" s="132"/>
      <c r="M126" s="132"/>
      <c r="N126" s="134"/>
      <c r="O126" s="134"/>
      <c r="P126" s="134"/>
      <c r="Q126" s="134"/>
      <c r="R126" s="134"/>
      <c r="S126" s="134"/>
      <c r="T126" s="134"/>
      <c r="U126" s="134"/>
      <c r="V126" s="134"/>
    </row>
    <row r="127" spans="1:22" s="39" customFormat="1" ht="18.5" x14ac:dyDescent="0.45">
      <c r="A127" s="13"/>
      <c r="B127" s="130"/>
      <c r="C127" s="130"/>
      <c r="D127" s="130"/>
      <c r="E127" s="130"/>
      <c r="F127" s="140"/>
      <c r="G127" s="135"/>
      <c r="H127" s="135"/>
      <c r="I127" s="123"/>
      <c r="J127" s="123"/>
      <c r="K127" s="123"/>
      <c r="L127" s="123"/>
      <c r="M127" s="123"/>
      <c r="N127" s="134"/>
      <c r="O127" s="134"/>
      <c r="P127" s="134"/>
      <c r="Q127" s="134"/>
      <c r="R127" s="134"/>
      <c r="S127" s="134"/>
      <c r="T127" s="134"/>
      <c r="U127" s="134"/>
      <c r="V127" s="134"/>
    </row>
    <row r="128" spans="1:22" s="39" customFormat="1" ht="18.5" x14ac:dyDescent="0.45">
      <c r="A128" s="13"/>
      <c r="B128" s="130"/>
      <c r="C128" s="130"/>
      <c r="D128" s="130"/>
      <c r="E128" s="130"/>
      <c r="F128" s="131"/>
      <c r="G128" s="130"/>
      <c r="H128" s="130"/>
      <c r="I128" s="132"/>
      <c r="J128" s="132"/>
      <c r="K128" s="132"/>
      <c r="L128" s="132"/>
      <c r="M128" s="132"/>
      <c r="N128" s="134"/>
      <c r="O128" s="134"/>
      <c r="P128" s="134"/>
      <c r="Q128" s="134"/>
      <c r="R128" s="134"/>
      <c r="S128" s="134"/>
      <c r="T128" s="134"/>
      <c r="U128" s="134"/>
      <c r="V128" s="134"/>
    </row>
    <row r="129" spans="1:22" s="39" customFormat="1" ht="18.5" x14ac:dyDescent="0.45">
      <c r="A129" s="13"/>
      <c r="B129" s="130"/>
      <c r="C129" s="130"/>
      <c r="D129" s="130"/>
      <c r="E129" s="130"/>
      <c r="F129" s="130"/>
      <c r="G129" s="130"/>
      <c r="H129" s="130"/>
      <c r="I129" s="132"/>
      <c r="J129" s="132"/>
      <c r="K129" s="132"/>
      <c r="L129" s="132"/>
      <c r="M129" s="132"/>
      <c r="N129" s="134"/>
      <c r="O129" s="134"/>
      <c r="P129" s="134"/>
      <c r="Q129" s="134"/>
      <c r="R129" s="134"/>
      <c r="S129" s="134"/>
      <c r="T129" s="134"/>
      <c r="U129" s="134"/>
      <c r="V129" s="134"/>
    </row>
    <row r="130" spans="1:22" s="39" customFormat="1" ht="18.5" x14ac:dyDescent="0.45">
      <c r="A130" s="13"/>
      <c r="B130" s="130"/>
      <c r="C130" s="130"/>
      <c r="D130" s="130"/>
      <c r="E130" s="130"/>
      <c r="F130" s="130"/>
      <c r="G130" s="130"/>
      <c r="H130" s="130"/>
      <c r="I130" s="132"/>
      <c r="J130" s="132"/>
      <c r="K130" s="132"/>
      <c r="L130" s="132"/>
      <c r="M130" s="132"/>
      <c r="N130" s="134"/>
      <c r="O130" s="134"/>
      <c r="P130" s="134"/>
      <c r="Q130" s="134"/>
      <c r="R130" s="134"/>
      <c r="S130" s="134"/>
      <c r="T130" s="134"/>
      <c r="U130" s="134"/>
      <c r="V130" s="134"/>
    </row>
    <row r="131" spans="1:22" s="39" customFormat="1" ht="18.5" x14ac:dyDescent="0.45">
      <c r="A131" s="13"/>
      <c r="B131" s="130"/>
      <c r="C131" s="130"/>
      <c r="D131" s="130"/>
      <c r="E131" s="130"/>
      <c r="F131" s="130"/>
      <c r="G131" s="130"/>
      <c r="H131" s="130"/>
      <c r="I131" s="132"/>
      <c r="J131" s="132"/>
      <c r="K131" s="132"/>
      <c r="L131" s="132"/>
      <c r="M131" s="132"/>
      <c r="N131" s="134"/>
      <c r="O131" s="134"/>
      <c r="P131" s="134"/>
      <c r="Q131" s="134"/>
      <c r="R131" s="134"/>
      <c r="S131" s="134"/>
      <c r="T131" s="134"/>
      <c r="U131" s="134"/>
      <c r="V131" s="134"/>
    </row>
    <row r="132" spans="1:22" s="39" customFormat="1" ht="18.5" x14ac:dyDescent="0.45">
      <c r="A132" s="13"/>
      <c r="B132" s="130"/>
      <c r="C132" s="130"/>
      <c r="D132" s="130"/>
      <c r="E132" s="130"/>
      <c r="F132" s="130"/>
      <c r="G132" s="130"/>
      <c r="H132" s="130"/>
      <c r="I132" s="132"/>
      <c r="J132" s="132"/>
      <c r="K132" s="132"/>
      <c r="L132" s="132"/>
      <c r="M132" s="132"/>
      <c r="N132" s="134"/>
      <c r="O132" s="134"/>
      <c r="P132" s="134"/>
      <c r="Q132" s="134"/>
      <c r="R132" s="134"/>
      <c r="S132" s="134"/>
      <c r="T132" s="134"/>
      <c r="U132" s="134"/>
      <c r="V132" s="134"/>
    </row>
    <row r="133" spans="1:22" s="39" customFormat="1" ht="18.5" x14ac:dyDescent="0.45">
      <c r="A133" s="13"/>
      <c r="B133" s="130"/>
      <c r="C133" s="130"/>
      <c r="D133" s="130"/>
      <c r="E133" s="130"/>
      <c r="F133" s="130"/>
      <c r="G133" s="130"/>
      <c r="H133" s="130"/>
      <c r="I133" s="132"/>
      <c r="J133" s="132"/>
      <c r="K133" s="132"/>
      <c r="L133" s="132"/>
      <c r="M133" s="132"/>
      <c r="N133" s="134"/>
      <c r="O133" s="134"/>
      <c r="P133" s="134"/>
      <c r="Q133" s="134"/>
      <c r="R133" s="134"/>
      <c r="S133" s="134"/>
      <c r="T133" s="134"/>
      <c r="U133" s="134"/>
      <c r="V133" s="134"/>
    </row>
    <row r="134" spans="1:22" s="39" customFormat="1" ht="18.5" x14ac:dyDescent="0.45">
      <c r="A134" s="13"/>
      <c r="B134" s="130"/>
      <c r="C134" s="130"/>
      <c r="D134" s="130"/>
      <c r="E134" s="130"/>
      <c r="F134" s="130"/>
      <c r="G134" s="130"/>
      <c r="H134" s="130"/>
      <c r="I134" s="132"/>
      <c r="J134" s="132"/>
      <c r="K134" s="132"/>
      <c r="L134" s="132"/>
      <c r="M134" s="132"/>
      <c r="N134" s="134"/>
      <c r="O134" s="134"/>
      <c r="P134" s="134"/>
      <c r="Q134" s="134"/>
      <c r="R134" s="134"/>
      <c r="S134" s="134"/>
      <c r="T134" s="134"/>
      <c r="U134" s="134"/>
      <c r="V134" s="134"/>
    </row>
    <row r="135" spans="1:22" s="39" customFormat="1" ht="18.5" x14ac:dyDescent="0.45">
      <c r="A135" s="13"/>
      <c r="B135" s="130"/>
      <c r="C135" s="130"/>
      <c r="D135" s="130"/>
      <c r="E135" s="130"/>
      <c r="F135" s="130"/>
      <c r="G135" s="130"/>
      <c r="H135" s="130"/>
      <c r="I135" s="132"/>
      <c r="J135" s="132"/>
      <c r="K135" s="132"/>
      <c r="L135" s="132"/>
      <c r="M135" s="132"/>
      <c r="N135" s="134"/>
      <c r="O135" s="134"/>
      <c r="P135" s="134"/>
      <c r="Q135" s="134"/>
      <c r="R135" s="134"/>
      <c r="S135" s="134"/>
      <c r="T135" s="134"/>
      <c r="U135" s="134"/>
      <c r="V135" s="134"/>
    </row>
    <row r="136" spans="1:22" s="39" customFormat="1" ht="18.5" x14ac:dyDescent="0.45">
      <c r="A136" s="13"/>
      <c r="B136" s="130"/>
      <c r="C136" s="130"/>
      <c r="D136" s="130"/>
      <c r="E136" s="130"/>
      <c r="F136" s="130"/>
      <c r="G136" s="130"/>
      <c r="H136" s="130"/>
      <c r="I136" s="132"/>
      <c r="J136" s="132"/>
      <c r="K136" s="132"/>
      <c r="L136" s="132"/>
      <c r="M136" s="132"/>
      <c r="N136" s="134"/>
      <c r="O136" s="134"/>
      <c r="P136" s="134"/>
      <c r="Q136" s="134"/>
      <c r="R136" s="134"/>
      <c r="S136" s="134"/>
      <c r="T136" s="134"/>
      <c r="U136" s="134"/>
      <c r="V136" s="134"/>
    </row>
    <row r="137" spans="1:22" s="39" customFormat="1" ht="18.5" x14ac:dyDescent="0.45">
      <c r="A137" s="13"/>
      <c r="B137" s="130"/>
      <c r="C137" s="130"/>
      <c r="D137" s="130"/>
      <c r="E137" s="130"/>
      <c r="F137" s="130"/>
      <c r="G137" s="130"/>
      <c r="H137" s="130"/>
      <c r="I137" s="132"/>
      <c r="J137" s="132"/>
      <c r="K137" s="132"/>
      <c r="L137" s="132"/>
      <c r="M137" s="132"/>
      <c r="N137" s="134"/>
      <c r="O137" s="134"/>
      <c r="P137" s="134"/>
      <c r="Q137" s="134"/>
      <c r="R137" s="134"/>
      <c r="S137" s="134"/>
      <c r="T137" s="134"/>
      <c r="U137" s="134"/>
      <c r="V137" s="134"/>
    </row>
    <row r="138" spans="1:22" s="39" customFormat="1" ht="18.5" x14ac:dyDescent="0.45">
      <c r="A138" s="13"/>
      <c r="B138" s="130"/>
      <c r="C138" s="130"/>
      <c r="D138" s="130"/>
      <c r="E138" s="130"/>
      <c r="F138" s="130"/>
      <c r="G138" s="130"/>
      <c r="H138" s="130"/>
      <c r="I138" s="132"/>
      <c r="J138" s="132"/>
      <c r="K138" s="132"/>
      <c r="L138" s="132"/>
      <c r="M138" s="132"/>
      <c r="N138" s="134"/>
      <c r="O138" s="134"/>
      <c r="P138" s="134"/>
      <c r="Q138" s="134"/>
      <c r="R138" s="134"/>
      <c r="S138" s="134"/>
      <c r="T138" s="134"/>
      <c r="U138" s="134"/>
      <c r="V138" s="134"/>
    </row>
    <row r="139" spans="1:22" s="39" customFormat="1" ht="18.5" x14ac:dyDescent="0.45">
      <c r="A139" s="13"/>
      <c r="B139" s="130"/>
      <c r="C139" s="130"/>
      <c r="D139" s="130"/>
      <c r="E139" s="130"/>
      <c r="F139" s="130"/>
      <c r="G139" s="130"/>
      <c r="H139" s="130"/>
      <c r="I139" s="132"/>
      <c r="J139" s="132"/>
      <c r="K139" s="132"/>
      <c r="L139" s="132"/>
      <c r="M139" s="132"/>
      <c r="N139" s="134"/>
      <c r="O139" s="134"/>
      <c r="P139" s="134"/>
      <c r="Q139" s="134"/>
      <c r="R139" s="134"/>
      <c r="S139" s="134"/>
      <c r="T139" s="134"/>
      <c r="U139" s="134"/>
      <c r="V139" s="134"/>
    </row>
    <row r="140" spans="1:22" s="39" customFormat="1" ht="18.5" x14ac:dyDescent="0.45">
      <c r="A140" s="13"/>
      <c r="B140" s="130"/>
      <c r="C140" s="130"/>
      <c r="D140" s="130"/>
      <c r="E140" s="130"/>
      <c r="F140" s="130"/>
      <c r="G140" s="130"/>
      <c r="H140" s="130"/>
      <c r="I140" s="132"/>
      <c r="J140" s="132"/>
      <c r="K140" s="132"/>
      <c r="L140" s="132"/>
      <c r="M140" s="132"/>
      <c r="N140" s="134"/>
      <c r="O140" s="134"/>
      <c r="P140" s="134"/>
      <c r="Q140" s="134"/>
      <c r="R140" s="134"/>
      <c r="S140" s="134"/>
      <c r="T140" s="134"/>
      <c r="U140" s="134"/>
      <c r="V140" s="134"/>
    </row>
    <row r="141" spans="1:22" s="39" customFormat="1" ht="18.5" x14ac:dyDescent="0.45">
      <c r="A141" s="13"/>
      <c r="B141" s="130"/>
      <c r="C141" s="130"/>
      <c r="D141" s="130"/>
      <c r="E141" s="130"/>
      <c r="F141" s="130"/>
      <c r="G141" s="130"/>
      <c r="H141" s="130"/>
      <c r="I141" s="132"/>
      <c r="J141" s="132"/>
      <c r="K141" s="132"/>
      <c r="L141" s="132"/>
      <c r="M141" s="132"/>
      <c r="N141" s="134"/>
      <c r="O141" s="134"/>
      <c r="P141" s="134"/>
      <c r="Q141" s="134"/>
      <c r="R141" s="134"/>
      <c r="S141" s="134"/>
      <c r="T141" s="134"/>
      <c r="U141" s="134"/>
      <c r="V141" s="134"/>
    </row>
    <row r="142" spans="1:22" s="39" customFormat="1" ht="18.5" x14ac:dyDescent="0.45">
      <c r="A142" s="13"/>
      <c r="B142" s="130"/>
      <c r="C142" s="130"/>
      <c r="D142" s="130"/>
      <c r="E142" s="130"/>
      <c r="F142" s="130"/>
      <c r="G142" s="130"/>
      <c r="H142" s="130"/>
      <c r="I142" s="132"/>
      <c r="J142" s="132"/>
      <c r="K142" s="132"/>
      <c r="L142" s="132"/>
      <c r="M142" s="132"/>
      <c r="N142" s="134"/>
      <c r="O142" s="134"/>
      <c r="P142" s="134"/>
      <c r="Q142" s="134"/>
      <c r="R142" s="134"/>
      <c r="S142" s="134"/>
      <c r="T142" s="134"/>
      <c r="U142" s="134"/>
      <c r="V142" s="134"/>
    </row>
    <row r="143" spans="1:22" s="39" customFormat="1" ht="18.5" x14ac:dyDescent="0.45">
      <c r="A143" s="13"/>
      <c r="B143" s="130"/>
      <c r="C143" s="130"/>
      <c r="D143" s="130"/>
      <c r="E143" s="130"/>
      <c r="F143" s="130"/>
      <c r="G143" s="130"/>
      <c r="H143" s="130"/>
      <c r="I143" s="132"/>
      <c r="J143" s="132"/>
      <c r="K143" s="132"/>
      <c r="L143" s="132"/>
      <c r="M143" s="132"/>
      <c r="N143" s="134"/>
      <c r="O143" s="134"/>
      <c r="P143" s="134"/>
      <c r="Q143" s="134"/>
      <c r="R143" s="134"/>
      <c r="S143" s="134"/>
      <c r="T143" s="134"/>
      <c r="U143" s="134"/>
      <c r="V143" s="134"/>
    </row>
    <row r="144" spans="1:22" s="39" customFormat="1" ht="18.5" x14ac:dyDescent="0.45">
      <c r="A144" s="13"/>
      <c r="B144" s="130"/>
      <c r="C144" s="130"/>
      <c r="D144" s="130"/>
      <c r="E144" s="130"/>
      <c r="F144" s="130"/>
      <c r="G144" s="130"/>
      <c r="H144" s="130"/>
      <c r="I144" s="132"/>
      <c r="J144" s="132"/>
      <c r="K144" s="132"/>
      <c r="L144" s="132"/>
      <c r="M144" s="132"/>
      <c r="N144" s="134"/>
      <c r="O144" s="134"/>
      <c r="P144" s="134"/>
      <c r="Q144" s="134"/>
      <c r="R144" s="134"/>
      <c r="S144" s="134"/>
      <c r="T144" s="134"/>
      <c r="U144" s="134"/>
      <c r="V144" s="134"/>
    </row>
    <row r="145" spans="1:22" s="39" customFormat="1" ht="18.5" x14ac:dyDescent="0.45">
      <c r="A145" s="13"/>
      <c r="B145" s="130"/>
      <c r="C145" s="130"/>
      <c r="D145" s="130"/>
      <c r="E145" s="130"/>
      <c r="F145" s="130"/>
      <c r="G145" s="130"/>
      <c r="H145" s="130"/>
      <c r="I145" s="132"/>
      <c r="J145" s="132"/>
      <c r="K145" s="132"/>
      <c r="L145" s="132"/>
      <c r="M145" s="132"/>
      <c r="N145" s="134"/>
      <c r="O145" s="134"/>
      <c r="P145" s="134"/>
      <c r="Q145" s="134"/>
      <c r="R145" s="134"/>
      <c r="S145" s="134"/>
      <c r="T145" s="134"/>
      <c r="U145" s="134"/>
      <c r="V145" s="134"/>
    </row>
    <row r="146" spans="1:22" s="39" customFormat="1" ht="18.5" x14ac:dyDescent="0.45">
      <c r="A146" s="13"/>
      <c r="B146" s="130"/>
      <c r="C146" s="130"/>
      <c r="D146" s="130"/>
      <c r="E146" s="130"/>
      <c r="F146" s="130"/>
      <c r="G146" s="130"/>
      <c r="H146" s="130"/>
      <c r="I146" s="132"/>
      <c r="J146" s="132"/>
      <c r="K146" s="132"/>
      <c r="L146" s="132"/>
      <c r="M146" s="132"/>
      <c r="N146" s="134"/>
      <c r="O146" s="134"/>
      <c r="P146" s="134"/>
      <c r="Q146" s="134"/>
      <c r="R146" s="134"/>
      <c r="S146" s="134"/>
      <c r="T146" s="134"/>
      <c r="U146" s="134"/>
      <c r="V146" s="134"/>
    </row>
    <row r="147" spans="1:22" s="39" customFormat="1" ht="18.5" x14ac:dyDescent="0.45">
      <c r="A147" s="13"/>
      <c r="B147" s="130"/>
      <c r="C147" s="130"/>
      <c r="D147" s="130"/>
      <c r="E147" s="130"/>
      <c r="F147" s="130"/>
      <c r="G147" s="130"/>
      <c r="H147" s="130"/>
      <c r="I147" s="132"/>
      <c r="J147" s="132"/>
      <c r="K147" s="132"/>
      <c r="L147" s="132"/>
      <c r="M147" s="132"/>
      <c r="N147" s="134"/>
      <c r="O147" s="134"/>
      <c r="P147" s="134"/>
      <c r="Q147" s="134"/>
      <c r="R147" s="134"/>
      <c r="S147" s="134"/>
      <c r="T147" s="134"/>
      <c r="U147" s="134"/>
      <c r="V147" s="134"/>
    </row>
    <row r="148" spans="1:22" s="39" customFormat="1" ht="18.5" x14ac:dyDescent="0.45">
      <c r="A148" s="13"/>
      <c r="B148" s="130"/>
      <c r="C148" s="130"/>
      <c r="D148" s="130"/>
      <c r="E148" s="130"/>
      <c r="F148" s="130"/>
      <c r="G148" s="130"/>
      <c r="H148" s="130"/>
      <c r="I148" s="132"/>
      <c r="J148" s="132"/>
      <c r="K148" s="132"/>
      <c r="L148" s="132"/>
      <c r="M148" s="132"/>
      <c r="N148" s="134"/>
      <c r="O148" s="134"/>
      <c r="P148" s="134"/>
      <c r="Q148" s="134"/>
      <c r="R148" s="134"/>
      <c r="S148" s="134"/>
      <c r="T148" s="134"/>
      <c r="U148" s="134"/>
      <c r="V148" s="134"/>
    </row>
    <row r="149" spans="1:22" s="39" customFormat="1" ht="18.5" x14ac:dyDescent="0.45">
      <c r="A149" s="13"/>
      <c r="B149" s="130"/>
      <c r="C149" s="130"/>
      <c r="D149" s="130"/>
      <c r="E149" s="130"/>
      <c r="F149" s="130"/>
      <c r="G149" s="130"/>
      <c r="H149" s="130"/>
      <c r="I149" s="132"/>
      <c r="J149" s="132"/>
      <c r="K149" s="132"/>
      <c r="L149" s="132"/>
      <c r="M149" s="132"/>
      <c r="N149" s="134"/>
      <c r="O149" s="134"/>
      <c r="P149" s="134"/>
      <c r="Q149" s="134"/>
      <c r="R149" s="134"/>
      <c r="S149" s="134"/>
      <c r="T149" s="134"/>
      <c r="U149" s="134"/>
      <c r="V149" s="134"/>
    </row>
    <row r="150" spans="1:22" s="39" customFormat="1" ht="18.5" x14ac:dyDescent="0.45">
      <c r="A150" s="13"/>
      <c r="B150" s="130"/>
      <c r="C150" s="130"/>
      <c r="D150" s="130"/>
      <c r="E150" s="130"/>
      <c r="F150" s="130"/>
      <c r="G150" s="130"/>
      <c r="H150" s="130"/>
      <c r="I150" s="132"/>
      <c r="J150" s="132"/>
      <c r="K150" s="132"/>
      <c r="L150" s="132"/>
      <c r="M150" s="132"/>
      <c r="N150" s="134"/>
      <c r="O150" s="134"/>
      <c r="P150" s="134"/>
      <c r="Q150" s="134"/>
      <c r="R150" s="134"/>
      <c r="S150" s="134"/>
      <c r="T150" s="134"/>
      <c r="U150" s="134"/>
      <c r="V150" s="134"/>
    </row>
    <row r="151" spans="1:22" s="39" customFormat="1" ht="18.5" x14ac:dyDescent="0.45">
      <c r="A151" s="13"/>
      <c r="B151" s="130"/>
      <c r="C151" s="130"/>
      <c r="D151" s="130"/>
      <c r="E151" s="130"/>
      <c r="F151" s="130"/>
      <c r="G151" s="130"/>
      <c r="H151" s="130"/>
      <c r="I151" s="132"/>
      <c r="J151" s="132"/>
      <c r="K151" s="132"/>
      <c r="L151" s="132"/>
      <c r="M151" s="132"/>
      <c r="N151" s="134"/>
      <c r="O151" s="134"/>
      <c r="P151" s="134"/>
      <c r="Q151" s="134"/>
      <c r="R151" s="134"/>
      <c r="S151" s="134"/>
      <c r="T151" s="134"/>
      <c r="U151" s="134"/>
      <c r="V151" s="134"/>
    </row>
    <row r="152" spans="1:22" s="39" customFormat="1" ht="18.5" x14ac:dyDescent="0.45">
      <c r="A152" s="13"/>
      <c r="B152" s="130"/>
      <c r="C152" s="130"/>
      <c r="D152" s="130"/>
      <c r="E152" s="130"/>
      <c r="F152" s="130"/>
      <c r="G152" s="130"/>
      <c r="H152" s="130"/>
      <c r="I152" s="132"/>
      <c r="J152" s="132"/>
      <c r="K152" s="132"/>
      <c r="L152" s="132"/>
      <c r="M152" s="132"/>
      <c r="N152" s="134"/>
      <c r="O152" s="134"/>
      <c r="P152" s="134"/>
      <c r="Q152" s="134"/>
      <c r="R152" s="134"/>
      <c r="S152" s="134"/>
      <c r="T152" s="134"/>
      <c r="U152" s="134"/>
      <c r="V152" s="134"/>
    </row>
    <row r="153" spans="1:22" s="39" customFormat="1" ht="18.5" x14ac:dyDescent="0.45">
      <c r="A153" s="13"/>
      <c r="B153" s="130"/>
      <c r="C153" s="130"/>
      <c r="D153" s="130"/>
      <c r="E153" s="130"/>
      <c r="F153" s="130"/>
      <c r="G153" s="130"/>
      <c r="H153" s="130"/>
      <c r="I153" s="132"/>
      <c r="J153" s="132"/>
      <c r="K153" s="132"/>
      <c r="L153" s="132"/>
      <c r="M153" s="132"/>
      <c r="N153" s="134"/>
      <c r="O153" s="134"/>
      <c r="P153" s="134"/>
      <c r="Q153" s="134"/>
      <c r="R153" s="134"/>
      <c r="S153" s="134"/>
      <c r="T153" s="134"/>
      <c r="U153" s="134"/>
      <c r="V153" s="134"/>
    </row>
    <row r="154" spans="1:22" s="39" customFormat="1" ht="18.5" x14ac:dyDescent="0.45">
      <c r="A154" s="13"/>
      <c r="B154" s="130"/>
      <c r="C154" s="130"/>
      <c r="D154" s="130"/>
      <c r="E154" s="130"/>
      <c r="F154" s="130"/>
      <c r="G154" s="130"/>
      <c r="H154" s="130"/>
      <c r="I154" s="132"/>
      <c r="J154" s="132"/>
      <c r="K154" s="132"/>
      <c r="L154" s="132"/>
      <c r="M154" s="132"/>
      <c r="N154" s="134"/>
      <c r="O154" s="134"/>
      <c r="P154" s="134"/>
      <c r="Q154" s="134"/>
      <c r="R154" s="134"/>
      <c r="S154" s="134"/>
      <c r="T154" s="134"/>
      <c r="U154" s="134"/>
      <c r="V154" s="134"/>
    </row>
    <row r="155" spans="1:22" s="39" customFormat="1" ht="18.5" x14ac:dyDescent="0.45">
      <c r="A155" s="13"/>
      <c r="B155" s="130"/>
      <c r="C155" s="130"/>
      <c r="D155" s="130"/>
      <c r="E155" s="130"/>
      <c r="F155" s="130"/>
      <c r="G155" s="130"/>
      <c r="H155" s="130"/>
      <c r="I155" s="132"/>
      <c r="J155" s="132"/>
      <c r="K155" s="132"/>
      <c r="L155" s="132"/>
      <c r="M155" s="132"/>
      <c r="N155" s="134"/>
      <c r="O155" s="134"/>
      <c r="P155" s="134"/>
      <c r="Q155" s="134"/>
      <c r="R155" s="134"/>
      <c r="S155" s="134"/>
      <c r="T155" s="134"/>
      <c r="U155" s="134"/>
      <c r="V155" s="134"/>
    </row>
    <row r="156" spans="1:22" s="39" customFormat="1" ht="18.5" x14ac:dyDescent="0.45">
      <c r="A156" s="13"/>
      <c r="B156" s="130"/>
      <c r="C156" s="130"/>
      <c r="D156" s="130"/>
      <c r="E156" s="130"/>
      <c r="F156" s="130"/>
      <c r="G156" s="130"/>
      <c r="H156" s="130"/>
      <c r="I156" s="132"/>
      <c r="J156" s="132"/>
      <c r="K156" s="132"/>
      <c r="L156" s="132"/>
      <c r="M156" s="132"/>
      <c r="N156" s="134"/>
      <c r="O156" s="134"/>
      <c r="P156" s="134"/>
      <c r="Q156" s="134"/>
      <c r="R156" s="134"/>
      <c r="S156" s="134"/>
      <c r="T156" s="134"/>
      <c r="U156" s="134"/>
      <c r="V156" s="134"/>
    </row>
    <row r="157" spans="1:22" s="39" customFormat="1" ht="18.5" x14ac:dyDescent="0.45">
      <c r="A157" s="13"/>
      <c r="B157" s="130"/>
      <c r="C157" s="130"/>
      <c r="D157" s="130"/>
      <c r="E157" s="130"/>
      <c r="F157" s="130"/>
      <c r="G157" s="130"/>
      <c r="H157" s="130"/>
      <c r="I157" s="132"/>
      <c r="J157" s="132"/>
      <c r="K157" s="132"/>
      <c r="L157" s="132"/>
      <c r="M157" s="132"/>
      <c r="N157" s="134"/>
      <c r="O157" s="134"/>
      <c r="P157" s="134"/>
      <c r="Q157" s="134"/>
      <c r="R157" s="134"/>
      <c r="S157" s="134"/>
      <c r="T157" s="134"/>
      <c r="U157" s="134"/>
      <c r="V157" s="134"/>
    </row>
    <row r="158" spans="1:22" s="39" customFormat="1" ht="18.5" x14ac:dyDescent="0.45">
      <c r="A158" s="13"/>
      <c r="B158" s="130"/>
      <c r="C158" s="130"/>
      <c r="D158" s="130"/>
      <c r="E158" s="130"/>
      <c r="F158" s="130"/>
      <c r="G158" s="130"/>
      <c r="H158" s="130"/>
      <c r="I158" s="132"/>
      <c r="J158" s="132"/>
      <c r="K158" s="132"/>
      <c r="L158" s="132"/>
      <c r="M158" s="132"/>
      <c r="N158" s="134"/>
      <c r="O158" s="134"/>
      <c r="P158" s="134"/>
      <c r="Q158" s="134"/>
      <c r="R158" s="134"/>
      <c r="S158" s="134"/>
      <c r="T158" s="134"/>
      <c r="U158" s="134"/>
      <c r="V158" s="134"/>
    </row>
    <row r="159" spans="1:22" s="39" customFormat="1" ht="18.5" x14ac:dyDescent="0.45">
      <c r="A159" s="13"/>
      <c r="B159" s="130"/>
      <c r="C159" s="130"/>
      <c r="D159" s="130"/>
      <c r="E159" s="130"/>
      <c r="F159" s="130"/>
      <c r="G159" s="130"/>
      <c r="H159" s="130"/>
      <c r="I159" s="132"/>
      <c r="J159" s="132"/>
      <c r="K159" s="132"/>
      <c r="L159" s="132"/>
      <c r="M159" s="132"/>
      <c r="N159" s="134"/>
      <c r="O159" s="134"/>
      <c r="P159" s="134"/>
      <c r="Q159" s="134"/>
      <c r="R159" s="134"/>
      <c r="S159" s="134"/>
      <c r="T159" s="134"/>
      <c r="U159" s="134"/>
      <c r="V159" s="134"/>
    </row>
    <row r="160" spans="1:22" s="39" customFormat="1" ht="18.5" x14ac:dyDescent="0.45">
      <c r="A160" s="13"/>
      <c r="B160" s="130"/>
      <c r="C160" s="130"/>
      <c r="D160" s="130"/>
      <c r="E160" s="130"/>
      <c r="F160" s="130"/>
      <c r="G160" s="130"/>
      <c r="H160" s="130"/>
      <c r="I160" s="132"/>
      <c r="J160" s="132"/>
      <c r="K160" s="132"/>
      <c r="L160" s="132"/>
      <c r="M160" s="132"/>
      <c r="N160" s="134"/>
      <c r="O160" s="134"/>
      <c r="P160" s="134"/>
      <c r="Q160" s="134"/>
      <c r="R160" s="134"/>
      <c r="S160" s="134"/>
      <c r="T160" s="134"/>
      <c r="U160" s="134"/>
      <c r="V160" s="134"/>
    </row>
    <row r="161" spans="1:22" s="39" customFormat="1" ht="18.5" x14ac:dyDescent="0.45">
      <c r="A161" s="13"/>
      <c r="B161" s="130"/>
      <c r="C161" s="130"/>
      <c r="D161" s="130"/>
      <c r="E161" s="130"/>
      <c r="F161" s="130"/>
      <c r="G161" s="130"/>
      <c r="H161" s="130"/>
      <c r="I161" s="132"/>
      <c r="J161" s="132"/>
      <c r="K161" s="132"/>
      <c r="L161" s="132"/>
      <c r="M161" s="132"/>
      <c r="N161" s="134"/>
      <c r="O161" s="134"/>
      <c r="P161" s="134"/>
      <c r="Q161" s="134"/>
      <c r="R161" s="134"/>
      <c r="S161" s="134"/>
      <c r="T161" s="134"/>
      <c r="U161" s="134"/>
      <c r="V161" s="134"/>
    </row>
    <row r="162" spans="1:22" s="39" customFormat="1" ht="18.5" x14ac:dyDescent="0.45">
      <c r="A162" s="13"/>
      <c r="B162" s="130"/>
      <c r="C162" s="130"/>
      <c r="D162" s="130"/>
      <c r="E162" s="130"/>
      <c r="F162" s="130"/>
      <c r="G162" s="130"/>
      <c r="H162" s="130"/>
      <c r="I162" s="132"/>
      <c r="J162" s="132"/>
      <c r="K162" s="132"/>
      <c r="L162" s="132"/>
      <c r="M162" s="132"/>
      <c r="N162" s="134"/>
      <c r="O162" s="134"/>
      <c r="P162" s="134"/>
      <c r="Q162" s="134"/>
      <c r="R162" s="134"/>
      <c r="S162" s="134"/>
      <c r="T162" s="134"/>
      <c r="U162" s="134"/>
      <c r="V162" s="134"/>
    </row>
    <row r="163" spans="1:22" s="39" customFormat="1" ht="18.5" x14ac:dyDescent="0.45">
      <c r="A163" s="13"/>
      <c r="B163" s="130"/>
      <c r="C163" s="130"/>
      <c r="D163" s="130"/>
      <c r="E163" s="130"/>
      <c r="F163" s="130"/>
      <c r="G163" s="130"/>
      <c r="H163" s="130"/>
      <c r="I163" s="132"/>
      <c r="J163" s="132"/>
      <c r="K163" s="132"/>
      <c r="L163" s="132"/>
      <c r="M163" s="132"/>
      <c r="N163" s="134"/>
      <c r="O163" s="134"/>
      <c r="P163" s="134"/>
      <c r="Q163" s="134"/>
      <c r="R163" s="134"/>
      <c r="S163" s="134"/>
      <c r="T163" s="134"/>
      <c r="U163" s="134"/>
      <c r="V163" s="134"/>
    </row>
    <row r="164" spans="1:22" s="39" customFormat="1" ht="18.5" x14ac:dyDescent="0.45">
      <c r="A164" s="13"/>
      <c r="B164" s="130"/>
      <c r="C164" s="130"/>
      <c r="D164" s="130"/>
      <c r="E164" s="130"/>
      <c r="F164" s="130"/>
      <c r="G164" s="130"/>
      <c r="H164" s="130"/>
      <c r="I164" s="132"/>
      <c r="J164" s="132"/>
      <c r="K164" s="132"/>
      <c r="L164" s="132"/>
      <c r="M164" s="132"/>
      <c r="N164" s="134"/>
      <c r="O164" s="134"/>
      <c r="P164" s="134"/>
      <c r="Q164" s="134"/>
      <c r="R164" s="134"/>
      <c r="S164" s="134"/>
      <c r="T164" s="134"/>
      <c r="U164" s="134"/>
      <c r="V164" s="134"/>
    </row>
    <row r="165" spans="1:22" s="39" customFormat="1" ht="18.5" x14ac:dyDescent="0.45">
      <c r="A165" s="13"/>
      <c r="B165" s="130"/>
      <c r="C165" s="130"/>
      <c r="D165" s="130"/>
      <c r="E165" s="130"/>
      <c r="F165" s="130"/>
      <c r="G165" s="130"/>
      <c r="H165" s="130"/>
      <c r="I165" s="132"/>
      <c r="J165" s="132"/>
      <c r="K165" s="132"/>
      <c r="L165" s="132"/>
      <c r="M165" s="132"/>
      <c r="N165" s="134"/>
      <c r="O165" s="134"/>
      <c r="P165" s="134"/>
      <c r="Q165" s="134"/>
      <c r="R165" s="134"/>
      <c r="S165" s="134"/>
      <c r="T165" s="134"/>
      <c r="U165" s="134"/>
      <c r="V165" s="134"/>
    </row>
    <row r="166" spans="1:22" s="39" customFormat="1" ht="18.5" x14ac:dyDescent="0.45">
      <c r="A166" s="13"/>
      <c r="B166" s="130"/>
      <c r="C166" s="130"/>
      <c r="D166" s="130"/>
      <c r="E166" s="130"/>
      <c r="F166" s="130"/>
      <c r="G166" s="130"/>
      <c r="H166" s="130"/>
      <c r="I166" s="132"/>
      <c r="J166" s="132"/>
      <c r="K166" s="132"/>
      <c r="L166" s="132"/>
      <c r="M166" s="132"/>
      <c r="N166" s="134"/>
      <c r="O166" s="134"/>
      <c r="P166" s="134"/>
      <c r="Q166" s="134"/>
      <c r="R166" s="134"/>
      <c r="S166" s="134"/>
      <c r="T166" s="134"/>
      <c r="U166" s="134"/>
      <c r="V166" s="134"/>
    </row>
    <row r="167" spans="1:22" s="39" customFormat="1" ht="18.5" x14ac:dyDescent="0.45">
      <c r="A167" s="13"/>
      <c r="B167" s="130"/>
      <c r="C167" s="130"/>
      <c r="D167" s="130"/>
      <c r="E167" s="130"/>
      <c r="F167" s="130"/>
      <c r="G167" s="130"/>
      <c r="H167" s="130"/>
      <c r="I167" s="132"/>
      <c r="J167" s="132"/>
      <c r="K167" s="132"/>
      <c r="L167" s="132"/>
      <c r="M167" s="132"/>
      <c r="N167" s="134"/>
      <c r="O167" s="134"/>
      <c r="P167" s="134"/>
      <c r="Q167" s="134"/>
      <c r="R167" s="134"/>
      <c r="S167" s="134"/>
      <c r="T167" s="134"/>
      <c r="U167" s="134"/>
      <c r="V167" s="134"/>
    </row>
    <row r="168" spans="1:22" s="39" customFormat="1" ht="18.5" x14ac:dyDescent="0.45">
      <c r="A168" s="13"/>
      <c r="B168" s="130"/>
      <c r="C168" s="130"/>
      <c r="D168" s="130"/>
      <c r="E168" s="130"/>
      <c r="F168" s="130"/>
      <c r="G168" s="130"/>
      <c r="H168" s="130"/>
      <c r="I168" s="132"/>
      <c r="J168" s="132"/>
      <c r="K168" s="132"/>
      <c r="L168" s="132"/>
      <c r="M168" s="132"/>
      <c r="N168" s="134"/>
      <c r="O168" s="134"/>
      <c r="P168" s="134"/>
      <c r="Q168" s="134"/>
      <c r="R168" s="134"/>
      <c r="S168" s="134"/>
      <c r="T168" s="134"/>
      <c r="U168" s="134"/>
      <c r="V168" s="134"/>
    </row>
    <row r="169" spans="1:22" s="39" customFormat="1" ht="18.5" x14ac:dyDescent="0.45">
      <c r="A169" s="13"/>
      <c r="B169" s="130"/>
      <c r="C169" s="130"/>
      <c r="D169" s="130"/>
      <c r="E169" s="130"/>
      <c r="F169" s="130"/>
      <c r="G169" s="130"/>
      <c r="H169" s="130"/>
      <c r="I169" s="132"/>
      <c r="J169" s="132"/>
      <c r="K169" s="132"/>
      <c r="L169" s="132"/>
      <c r="M169" s="132"/>
      <c r="N169" s="134"/>
      <c r="O169" s="134"/>
      <c r="P169" s="134"/>
      <c r="Q169" s="134"/>
      <c r="R169" s="134"/>
      <c r="S169" s="134"/>
      <c r="T169" s="134"/>
      <c r="U169" s="134"/>
      <c r="V169" s="134"/>
    </row>
    <row r="170" spans="1:22" s="39" customFormat="1" ht="18.5" x14ac:dyDescent="0.45">
      <c r="A170" s="13"/>
      <c r="B170" s="130"/>
      <c r="C170" s="130"/>
      <c r="D170" s="130"/>
      <c r="E170" s="130"/>
      <c r="F170" s="130"/>
      <c r="G170" s="130"/>
      <c r="H170" s="130"/>
      <c r="I170" s="132"/>
      <c r="J170" s="132"/>
      <c r="K170" s="132"/>
      <c r="L170" s="132"/>
      <c r="M170" s="132"/>
      <c r="N170" s="134"/>
      <c r="O170" s="134"/>
      <c r="P170" s="134"/>
      <c r="Q170" s="134"/>
      <c r="R170" s="134"/>
      <c r="S170" s="134"/>
      <c r="T170" s="134"/>
      <c r="U170" s="134"/>
      <c r="V170" s="134"/>
    </row>
    <row r="171" spans="1:22" s="39" customFormat="1" ht="18.5" x14ac:dyDescent="0.45">
      <c r="A171" s="13"/>
      <c r="B171" s="130"/>
      <c r="C171" s="130"/>
      <c r="D171" s="130"/>
      <c r="E171" s="130"/>
      <c r="F171" s="130"/>
      <c r="G171" s="130"/>
      <c r="H171" s="130"/>
      <c r="I171" s="132"/>
      <c r="J171" s="132"/>
      <c r="K171" s="132"/>
      <c r="L171" s="132"/>
      <c r="M171" s="132"/>
      <c r="N171" s="134"/>
      <c r="O171" s="134"/>
      <c r="P171" s="134"/>
      <c r="Q171" s="134"/>
      <c r="R171" s="134"/>
      <c r="S171" s="134"/>
      <c r="T171" s="134"/>
      <c r="U171" s="134"/>
      <c r="V171" s="134"/>
    </row>
    <row r="172" spans="1:22" s="39" customFormat="1" ht="18.5" x14ac:dyDescent="0.45">
      <c r="A172" s="13"/>
      <c r="B172" s="130"/>
      <c r="C172" s="130"/>
      <c r="D172" s="130"/>
      <c r="E172" s="130"/>
      <c r="F172" s="130"/>
      <c r="G172" s="130"/>
      <c r="H172" s="130"/>
      <c r="I172" s="132"/>
      <c r="J172" s="132"/>
      <c r="K172" s="132"/>
      <c r="L172" s="132"/>
      <c r="M172" s="132"/>
      <c r="N172" s="134"/>
      <c r="O172" s="134"/>
      <c r="P172" s="134"/>
      <c r="Q172" s="134"/>
      <c r="R172" s="134"/>
      <c r="S172" s="134"/>
      <c r="T172" s="134"/>
      <c r="U172" s="134"/>
      <c r="V172" s="134"/>
    </row>
    <row r="173" spans="1:22" s="39" customFormat="1" ht="18.5" x14ac:dyDescent="0.45">
      <c r="A173" s="13"/>
      <c r="B173" s="130"/>
      <c r="C173" s="130"/>
      <c r="D173" s="130"/>
      <c r="E173" s="130"/>
      <c r="F173" s="130"/>
      <c r="G173" s="130"/>
      <c r="H173" s="130"/>
      <c r="I173" s="132"/>
      <c r="J173" s="132"/>
      <c r="K173" s="132"/>
      <c r="L173" s="132"/>
      <c r="M173" s="132"/>
      <c r="N173" s="134"/>
      <c r="O173" s="134"/>
      <c r="P173" s="134"/>
      <c r="Q173" s="134"/>
      <c r="R173" s="134"/>
      <c r="S173" s="134"/>
      <c r="T173" s="134"/>
      <c r="U173" s="134"/>
      <c r="V173" s="134"/>
    </row>
    <row r="174" spans="1:22" s="39" customFormat="1" ht="18.5" x14ac:dyDescent="0.45">
      <c r="A174" s="13"/>
      <c r="B174" s="130"/>
      <c r="C174" s="130"/>
      <c r="D174" s="130"/>
      <c r="E174" s="130"/>
      <c r="F174" s="130"/>
      <c r="G174" s="130"/>
      <c r="H174" s="130"/>
      <c r="I174" s="132"/>
      <c r="J174" s="132"/>
      <c r="K174" s="132"/>
      <c r="L174" s="132"/>
      <c r="M174" s="132"/>
      <c r="N174" s="134"/>
      <c r="O174" s="134"/>
      <c r="P174" s="134"/>
      <c r="Q174" s="134"/>
      <c r="R174" s="134"/>
      <c r="S174" s="134"/>
      <c r="T174" s="134"/>
      <c r="U174" s="134"/>
      <c r="V174" s="134"/>
    </row>
    <row r="175" spans="1:22" s="39" customFormat="1" ht="18.5" x14ac:dyDescent="0.45">
      <c r="A175" s="13"/>
      <c r="B175" s="130"/>
      <c r="C175" s="130"/>
      <c r="D175" s="130"/>
      <c r="E175" s="130"/>
      <c r="F175" s="130"/>
      <c r="G175" s="130"/>
      <c r="H175" s="130"/>
      <c r="I175" s="132"/>
      <c r="J175" s="132"/>
      <c r="K175" s="132"/>
      <c r="L175" s="132"/>
      <c r="M175" s="132"/>
      <c r="N175" s="134"/>
      <c r="O175" s="134"/>
      <c r="P175" s="134"/>
      <c r="Q175" s="134"/>
      <c r="R175" s="134"/>
      <c r="S175" s="134"/>
      <c r="T175" s="134"/>
      <c r="U175" s="134"/>
      <c r="V175" s="134"/>
    </row>
    <row r="176" spans="1:22" s="39" customFormat="1" ht="18.5" x14ac:dyDescent="0.45">
      <c r="A176" s="13"/>
      <c r="B176" s="130"/>
      <c r="C176" s="130"/>
      <c r="D176" s="130"/>
      <c r="E176" s="130"/>
      <c r="F176" s="130"/>
      <c r="G176" s="130"/>
      <c r="H176" s="130"/>
      <c r="I176" s="132"/>
      <c r="J176" s="132"/>
      <c r="K176" s="132"/>
      <c r="L176" s="132"/>
      <c r="M176" s="132"/>
      <c r="N176" s="134"/>
      <c r="O176" s="134"/>
      <c r="P176" s="134"/>
      <c r="Q176" s="134"/>
      <c r="R176" s="134"/>
      <c r="S176" s="134"/>
      <c r="T176" s="134"/>
      <c r="U176" s="134"/>
      <c r="V176" s="134"/>
    </row>
    <row r="177" spans="1:22" s="39" customFormat="1" ht="18.5" x14ac:dyDescent="0.45">
      <c r="A177" s="13"/>
      <c r="B177" s="130"/>
      <c r="C177" s="130"/>
      <c r="D177" s="130"/>
      <c r="E177" s="130"/>
      <c r="F177" s="130"/>
      <c r="G177" s="130"/>
      <c r="H177" s="130"/>
      <c r="I177" s="132"/>
      <c r="J177" s="132"/>
      <c r="K177" s="132"/>
      <c r="L177" s="132"/>
      <c r="M177" s="132"/>
      <c r="N177" s="134"/>
      <c r="O177" s="134"/>
      <c r="P177" s="134"/>
      <c r="Q177" s="134"/>
      <c r="R177" s="134"/>
      <c r="S177" s="134"/>
      <c r="T177" s="134"/>
      <c r="U177" s="134"/>
      <c r="V177" s="134"/>
    </row>
    <row r="178" spans="1:22" s="39" customFormat="1" ht="18.5" x14ac:dyDescent="0.45">
      <c r="A178" s="13"/>
      <c r="B178" s="130"/>
      <c r="C178" s="130"/>
      <c r="D178" s="130"/>
      <c r="E178" s="130"/>
      <c r="F178" s="130"/>
      <c r="G178" s="130"/>
      <c r="H178" s="130"/>
      <c r="I178" s="132"/>
      <c r="J178" s="132"/>
      <c r="K178" s="132"/>
      <c r="L178" s="132"/>
      <c r="M178" s="132"/>
      <c r="N178" s="134"/>
      <c r="O178" s="134"/>
      <c r="P178" s="134"/>
      <c r="Q178" s="134"/>
      <c r="R178" s="134"/>
      <c r="S178" s="134"/>
      <c r="T178" s="134"/>
      <c r="U178" s="134"/>
      <c r="V178" s="134"/>
    </row>
    <row r="179" spans="1:22" s="39" customFormat="1" ht="18.5" x14ac:dyDescent="0.45">
      <c r="A179" s="13"/>
      <c r="B179" s="130"/>
      <c r="C179" s="130"/>
      <c r="D179" s="130"/>
      <c r="E179" s="130"/>
      <c r="F179" s="130"/>
      <c r="G179" s="130"/>
      <c r="H179" s="130"/>
      <c r="I179" s="132"/>
      <c r="J179" s="132"/>
      <c r="K179" s="132"/>
      <c r="L179" s="132"/>
      <c r="M179" s="132"/>
      <c r="N179" s="134"/>
      <c r="O179" s="134"/>
      <c r="P179" s="134"/>
      <c r="Q179" s="134"/>
      <c r="R179" s="134"/>
      <c r="S179" s="134"/>
      <c r="T179" s="134"/>
      <c r="U179" s="134"/>
      <c r="V179" s="134"/>
    </row>
    <row r="180" spans="1:22" s="39" customFormat="1" ht="18.5" x14ac:dyDescent="0.45">
      <c r="A180" s="13"/>
      <c r="B180" s="130"/>
      <c r="C180" s="130"/>
      <c r="D180" s="130"/>
      <c r="E180" s="130"/>
      <c r="F180" s="130"/>
      <c r="G180" s="130"/>
      <c r="H180" s="130"/>
      <c r="I180" s="132"/>
      <c r="J180" s="132"/>
      <c r="K180" s="132"/>
      <c r="L180" s="132"/>
      <c r="M180" s="132"/>
      <c r="N180" s="134"/>
      <c r="O180" s="134"/>
      <c r="P180" s="134"/>
      <c r="Q180" s="134"/>
      <c r="R180" s="134"/>
      <c r="S180" s="134"/>
      <c r="T180" s="134"/>
      <c r="U180" s="134"/>
      <c r="V180" s="134"/>
    </row>
    <row r="181" spans="1:22" s="39" customFormat="1" ht="18.5" x14ac:dyDescent="0.45">
      <c r="A181" s="13"/>
      <c r="B181" s="130"/>
      <c r="C181" s="130"/>
      <c r="D181" s="130"/>
      <c r="E181" s="130"/>
      <c r="F181" s="130"/>
      <c r="G181" s="130"/>
      <c r="H181" s="130"/>
      <c r="I181" s="132"/>
      <c r="J181" s="132"/>
      <c r="K181" s="132"/>
      <c r="L181" s="132"/>
      <c r="M181" s="132"/>
      <c r="N181" s="134"/>
      <c r="O181" s="134"/>
      <c r="P181" s="134"/>
      <c r="Q181" s="134"/>
      <c r="R181" s="134"/>
      <c r="S181" s="134"/>
      <c r="T181" s="134"/>
      <c r="U181" s="134"/>
      <c r="V181" s="134"/>
    </row>
    <row r="182" spans="1:22" s="39" customFormat="1" ht="18.5" x14ac:dyDescent="0.45">
      <c r="A182" s="13"/>
      <c r="B182" s="130"/>
      <c r="C182" s="130"/>
      <c r="D182" s="130"/>
      <c r="E182" s="130"/>
      <c r="F182" s="130"/>
      <c r="G182" s="130"/>
      <c r="H182" s="130"/>
      <c r="I182" s="132"/>
      <c r="J182" s="132"/>
      <c r="K182" s="132"/>
      <c r="L182" s="132"/>
      <c r="M182" s="132"/>
      <c r="N182" s="134"/>
      <c r="O182" s="134"/>
      <c r="P182" s="134"/>
      <c r="Q182" s="134"/>
      <c r="R182" s="134"/>
      <c r="S182" s="134"/>
      <c r="T182" s="134"/>
      <c r="U182" s="134"/>
      <c r="V182" s="134"/>
    </row>
    <row r="183" spans="1:22" s="39" customFormat="1" ht="18.5" x14ac:dyDescent="0.45">
      <c r="A183" s="13"/>
      <c r="B183" s="130"/>
      <c r="C183" s="130"/>
      <c r="D183" s="130"/>
      <c r="E183" s="130"/>
      <c r="F183" s="130"/>
      <c r="G183" s="130"/>
      <c r="H183" s="130"/>
      <c r="I183" s="132"/>
      <c r="J183" s="132"/>
      <c r="K183" s="132"/>
      <c r="L183" s="132"/>
      <c r="M183" s="132"/>
      <c r="N183" s="134"/>
      <c r="O183" s="134"/>
      <c r="P183" s="134"/>
      <c r="Q183" s="134"/>
      <c r="R183" s="134"/>
      <c r="S183" s="134"/>
      <c r="T183" s="134"/>
      <c r="U183" s="134"/>
      <c r="V183" s="134"/>
    </row>
    <row r="184" spans="1:22" s="39" customFormat="1" ht="18.5" x14ac:dyDescent="0.45">
      <c r="A184" s="13"/>
      <c r="B184" s="130"/>
      <c r="C184" s="130"/>
      <c r="D184" s="130"/>
      <c r="E184" s="130"/>
      <c r="F184" s="130"/>
      <c r="G184" s="130"/>
      <c r="H184" s="130"/>
      <c r="I184" s="132"/>
      <c r="J184" s="132"/>
      <c r="K184" s="132"/>
      <c r="L184" s="132"/>
      <c r="M184" s="132"/>
      <c r="N184" s="134"/>
      <c r="O184" s="134"/>
      <c r="P184" s="134"/>
      <c r="Q184" s="134"/>
      <c r="R184" s="134"/>
      <c r="S184" s="134"/>
      <c r="T184" s="134"/>
      <c r="U184" s="134"/>
      <c r="V184" s="134"/>
    </row>
    <row r="185" spans="1:22" s="39" customFormat="1" ht="18.5" x14ac:dyDescent="0.45">
      <c r="A185" s="13"/>
      <c r="B185" s="130"/>
      <c r="C185" s="130"/>
      <c r="D185" s="130"/>
      <c r="E185" s="130"/>
      <c r="F185" s="130"/>
      <c r="G185" s="130"/>
      <c r="H185" s="130"/>
      <c r="I185" s="132"/>
      <c r="J185" s="132"/>
      <c r="K185" s="132"/>
      <c r="L185" s="132"/>
      <c r="M185" s="132"/>
      <c r="N185" s="134"/>
      <c r="O185" s="134"/>
      <c r="P185" s="134"/>
      <c r="Q185" s="134"/>
      <c r="R185" s="134"/>
      <c r="S185" s="134"/>
      <c r="T185" s="134"/>
      <c r="U185" s="134"/>
      <c r="V185" s="134"/>
    </row>
    <row r="186" spans="1:22" s="39" customFormat="1" ht="18.5" x14ac:dyDescent="0.45">
      <c r="A186" s="13"/>
      <c r="B186" s="130"/>
      <c r="C186" s="130"/>
      <c r="D186" s="130"/>
      <c r="E186" s="130"/>
      <c r="F186" s="130"/>
      <c r="G186" s="130"/>
      <c r="H186" s="130"/>
      <c r="I186" s="132"/>
      <c r="J186" s="132"/>
      <c r="K186" s="132"/>
      <c r="L186" s="132"/>
      <c r="M186" s="132"/>
      <c r="N186" s="134"/>
      <c r="O186" s="134"/>
      <c r="P186" s="134"/>
      <c r="Q186" s="134"/>
      <c r="R186" s="134"/>
      <c r="S186" s="134"/>
      <c r="T186" s="134"/>
      <c r="U186" s="134"/>
      <c r="V186" s="134"/>
    </row>
    <row r="187" spans="1:22" s="39" customFormat="1" ht="18.5" x14ac:dyDescent="0.45">
      <c r="A187" s="13"/>
      <c r="B187" s="130"/>
      <c r="C187" s="130"/>
      <c r="D187" s="130"/>
      <c r="E187" s="130"/>
      <c r="F187" s="130"/>
      <c r="G187" s="130"/>
      <c r="H187" s="130"/>
      <c r="I187" s="132"/>
      <c r="J187" s="132"/>
      <c r="K187" s="132"/>
      <c r="L187" s="132"/>
      <c r="M187" s="132"/>
      <c r="N187" s="134"/>
      <c r="O187" s="134"/>
      <c r="P187" s="134"/>
      <c r="Q187" s="134"/>
      <c r="R187" s="134"/>
      <c r="S187" s="134"/>
      <c r="T187" s="134"/>
      <c r="U187" s="134"/>
      <c r="V187" s="134"/>
    </row>
    <row r="188" spans="1:22" s="39" customFormat="1" ht="18.5" x14ac:dyDescent="0.45">
      <c r="A188" s="13"/>
      <c r="B188" s="130"/>
      <c r="C188" s="130"/>
      <c r="D188" s="130"/>
      <c r="E188" s="130"/>
      <c r="F188" s="130"/>
      <c r="G188" s="130"/>
      <c r="H188" s="130"/>
      <c r="I188" s="132"/>
      <c r="J188" s="132"/>
      <c r="K188" s="132"/>
      <c r="L188" s="132"/>
      <c r="M188" s="132"/>
      <c r="N188" s="134"/>
      <c r="O188" s="134"/>
      <c r="P188" s="134"/>
      <c r="Q188" s="134"/>
      <c r="R188" s="134"/>
      <c r="S188" s="134"/>
      <c r="T188" s="134"/>
      <c r="U188" s="134"/>
      <c r="V188" s="134"/>
    </row>
    <row r="189" spans="1:22" s="39" customFormat="1" ht="18.5" x14ac:dyDescent="0.45">
      <c r="A189" s="13"/>
      <c r="B189" s="130"/>
      <c r="C189" s="130"/>
      <c r="D189" s="130"/>
      <c r="E189" s="130"/>
      <c r="F189" s="130"/>
      <c r="G189" s="130"/>
      <c r="H189" s="130"/>
      <c r="I189" s="132"/>
      <c r="J189" s="132"/>
      <c r="K189" s="132"/>
      <c r="L189" s="132"/>
      <c r="M189" s="132"/>
      <c r="N189" s="134"/>
      <c r="O189" s="134"/>
      <c r="P189" s="134"/>
      <c r="Q189" s="134"/>
      <c r="R189" s="134"/>
      <c r="S189" s="134"/>
      <c r="T189" s="134"/>
      <c r="U189" s="134"/>
      <c r="V189" s="134"/>
    </row>
    <row r="190" spans="1:22" s="39" customFormat="1" ht="18.5" x14ac:dyDescent="0.45">
      <c r="A190" s="13"/>
      <c r="B190" s="130"/>
      <c r="C190" s="130"/>
      <c r="D190" s="130"/>
      <c r="E190" s="130"/>
      <c r="F190" s="130"/>
      <c r="G190" s="130"/>
      <c r="H190" s="130"/>
      <c r="I190" s="132"/>
      <c r="J190" s="132"/>
      <c r="K190" s="132"/>
      <c r="L190" s="132"/>
      <c r="M190" s="132"/>
      <c r="N190" s="134"/>
      <c r="O190" s="134"/>
      <c r="P190" s="134"/>
      <c r="Q190" s="134"/>
      <c r="R190" s="134"/>
      <c r="S190" s="134"/>
      <c r="T190" s="134"/>
      <c r="U190" s="134"/>
      <c r="V190" s="134"/>
    </row>
    <row r="191" spans="1:22" s="39" customFormat="1" ht="18.5" x14ac:dyDescent="0.45">
      <c r="A191" s="13"/>
      <c r="B191" s="130"/>
      <c r="C191" s="130"/>
      <c r="D191" s="130"/>
      <c r="E191" s="130"/>
      <c r="F191" s="130"/>
      <c r="G191" s="130"/>
      <c r="H191" s="130"/>
      <c r="I191" s="132"/>
      <c r="J191" s="132"/>
      <c r="K191" s="132"/>
      <c r="L191" s="132"/>
      <c r="M191" s="132"/>
      <c r="N191" s="134"/>
      <c r="O191" s="134"/>
      <c r="P191" s="134"/>
      <c r="Q191" s="134"/>
      <c r="R191" s="134"/>
      <c r="S191" s="134"/>
      <c r="T191" s="134"/>
      <c r="U191" s="134"/>
      <c r="V191" s="134"/>
    </row>
    <row r="192" spans="1:22" s="39" customFormat="1" ht="18.5" x14ac:dyDescent="0.45">
      <c r="A192" s="13"/>
      <c r="B192" s="130"/>
      <c r="C192" s="130"/>
      <c r="D192" s="130"/>
      <c r="E192" s="130"/>
      <c r="F192" s="130"/>
      <c r="G192" s="130"/>
      <c r="H192" s="130"/>
      <c r="I192" s="132"/>
      <c r="J192" s="132"/>
      <c r="K192" s="132"/>
      <c r="L192" s="132"/>
      <c r="M192" s="132"/>
      <c r="N192" s="134"/>
      <c r="O192" s="134"/>
      <c r="P192" s="134"/>
      <c r="Q192" s="134"/>
      <c r="R192" s="134"/>
      <c r="S192" s="134"/>
      <c r="T192" s="134"/>
      <c r="U192" s="134"/>
      <c r="V192" s="134"/>
    </row>
    <row r="193" spans="1:22" s="39" customFormat="1" ht="18.5" x14ac:dyDescent="0.45">
      <c r="A193" s="13"/>
      <c r="B193" s="130"/>
      <c r="C193" s="130"/>
      <c r="D193" s="130"/>
      <c r="E193" s="130"/>
      <c r="F193" s="130"/>
      <c r="G193" s="130"/>
      <c r="H193" s="130"/>
      <c r="I193" s="132"/>
      <c r="J193" s="132"/>
      <c r="K193" s="132"/>
      <c r="L193" s="132"/>
      <c r="M193" s="132"/>
      <c r="N193" s="134"/>
      <c r="O193" s="134"/>
      <c r="P193" s="134"/>
      <c r="Q193" s="134"/>
      <c r="R193" s="134"/>
      <c r="S193" s="134"/>
      <c r="T193" s="134"/>
      <c r="U193" s="134"/>
      <c r="V193" s="134"/>
    </row>
    <row r="194" spans="1:22" s="39" customFormat="1" ht="18.5" x14ac:dyDescent="0.45">
      <c r="A194" s="13"/>
      <c r="B194" s="13"/>
      <c r="C194" s="13"/>
      <c r="D194" s="13"/>
      <c r="E194" s="13"/>
      <c r="F194" s="13"/>
      <c r="G194" s="13"/>
      <c r="H194" s="13"/>
      <c r="I194" s="43"/>
      <c r="J194" s="43"/>
      <c r="K194" s="43"/>
      <c r="L194" s="43"/>
      <c r="M194" s="43"/>
    </row>
    <row r="195" spans="1:22" s="39" customFormat="1" ht="18.5" x14ac:dyDescent="0.45">
      <c r="A195" s="13"/>
      <c r="B195" s="13"/>
      <c r="C195" s="13"/>
      <c r="D195" s="13"/>
      <c r="E195" s="13"/>
      <c r="F195" s="13"/>
      <c r="G195" s="13"/>
      <c r="H195" s="13"/>
      <c r="I195" s="43"/>
      <c r="J195" s="43"/>
      <c r="K195" s="43"/>
      <c r="L195" s="43"/>
      <c r="M195" s="43"/>
    </row>
    <row r="196" spans="1:22" s="39" customFormat="1" ht="18.5" x14ac:dyDescent="0.45">
      <c r="A196" s="13"/>
      <c r="B196" s="13"/>
      <c r="C196" s="13"/>
      <c r="D196" s="13"/>
      <c r="E196" s="13"/>
      <c r="F196" s="13"/>
      <c r="G196" s="13"/>
      <c r="H196" s="13"/>
      <c r="I196" s="43"/>
      <c r="J196" s="43"/>
      <c r="K196" s="43"/>
      <c r="L196" s="43"/>
      <c r="M196" s="43"/>
    </row>
    <row r="197" spans="1:22" s="39" customFormat="1" ht="18.5" x14ac:dyDescent="0.45">
      <c r="A197" s="13"/>
      <c r="B197" s="13"/>
      <c r="C197" s="13"/>
      <c r="D197" s="13"/>
      <c r="E197" s="13"/>
      <c r="F197" s="13"/>
      <c r="G197" s="13"/>
      <c r="H197" s="13"/>
      <c r="I197" s="43"/>
      <c r="J197" s="43"/>
      <c r="K197" s="43"/>
      <c r="L197" s="43"/>
      <c r="M197" s="43"/>
    </row>
    <row r="198" spans="1:22" s="39" customFormat="1" ht="18.5" x14ac:dyDescent="0.45">
      <c r="A198" s="13"/>
      <c r="B198" s="13"/>
      <c r="C198" s="13"/>
      <c r="D198" s="13"/>
      <c r="E198" s="13"/>
      <c r="F198" s="13"/>
      <c r="G198" s="13"/>
      <c r="H198" s="13"/>
      <c r="I198" s="43"/>
      <c r="J198" s="43"/>
      <c r="K198" s="43"/>
      <c r="L198" s="43"/>
      <c r="M198" s="43"/>
    </row>
    <row r="199" spans="1:22" s="39" customFormat="1" ht="18.5" x14ac:dyDescent="0.45">
      <c r="A199" s="13"/>
      <c r="B199" s="13"/>
      <c r="C199" s="13"/>
      <c r="D199" s="13"/>
      <c r="E199" s="13"/>
      <c r="F199" s="13"/>
      <c r="G199" s="13"/>
      <c r="H199" s="13"/>
      <c r="I199" s="43"/>
      <c r="J199" s="43"/>
      <c r="K199" s="43"/>
      <c r="L199" s="43"/>
      <c r="M199" s="43"/>
    </row>
    <row r="200" spans="1:22" s="39" customFormat="1" ht="18.5" x14ac:dyDescent="0.45">
      <c r="A200" s="13"/>
      <c r="B200" s="13"/>
      <c r="C200" s="13"/>
      <c r="D200" s="13"/>
      <c r="E200" s="13"/>
      <c r="F200" s="13"/>
      <c r="G200" s="13"/>
      <c r="H200" s="13"/>
      <c r="I200" s="43"/>
      <c r="J200" s="43"/>
      <c r="K200" s="43"/>
      <c r="L200" s="43"/>
      <c r="M200" s="43"/>
    </row>
    <row r="201" spans="1:22" s="39" customFormat="1" ht="18.5" x14ac:dyDescent="0.45">
      <c r="A201" s="13"/>
      <c r="B201" s="13"/>
      <c r="C201" s="13"/>
      <c r="D201" s="13"/>
      <c r="E201" s="13"/>
      <c r="F201" s="13"/>
      <c r="G201" s="13"/>
      <c r="H201" s="13"/>
      <c r="I201" s="43"/>
      <c r="J201" s="43"/>
      <c r="K201" s="43"/>
      <c r="L201" s="43"/>
      <c r="M201" s="43"/>
    </row>
    <row r="202" spans="1:22" s="39" customFormat="1" ht="18.5" x14ac:dyDescent="0.45">
      <c r="A202" s="13"/>
      <c r="B202" s="13"/>
      <c r="C202" s="13"/>
      <c r="D202" s="13"/>
      <c r="E202" s="13"/>
      <c r="F202" s="13"/>
      <c r="G202" s="13"/>
      <c r="H202" s="13"/>
      <c r="I202" s="43"/>
      <c r="J202" s="43"/>
      <c r="K202" s="43"/>
      <c r="L202" s="43"/>
      <c r="M202" s="43"/>
    </row>
    <row r="203" spans="1:22" s="39" customFormat="1" ht="18.5" x14ac:dyDescent="0.45">
      <c r="A203" s="13"/>
      <c r="B203" s="13"/>
      <c r="C203" s="13"/>
      <c r="D203" s="13"/>
      <c r="E203" s="13"/>
      <c r="F203" s="13"/>
      <c r="G203" s="13"/>
      <c r="H203" s="13"/>
      <c r="I203" s="43"/>
      <c r="J203" s="43"/>
      <c r="K203" s="43"/>
      <c r="L203" s="43"/>
      <c r="M203" s="43"/>
    </row>
    <row r="204" spans="1:22" s="39" customFormat="1" ht="18.5" x14ac:dyDescent="0.45">
      <c r="A204" s="13"/>
      <c r="B204" s="13"/>
      <c r="C204" s="13"/>
      <c r="D204" s="13"/>
      <c r="E204" s="13"/>
      <c r="F204" s="13"/>
      <c r="G204" s="13"/>
      <c r="H204" s="13"/>
      <c r="I204" s="43"/>
      <c r="J204" s="43"/>
      <c r="K204" s="43"/>
      <c r="L204" s="43"/>
      <c r="M204" s="43"/>
    </row>
    <row r="205" spans="1:22" s="39" customFormat="1" ht="18.5" x14ac:dyDescent="0.45">
      <c r="A205" s="13"/>
      <c r="B205" s="13"/>
      <c r="C205" s="13"/>
      <c r="D205" s="13"/>
      <c r="E205" s="13"/>
      <c r="F205" s="13"/>
      <c r="G205" s="13"/>
      <c r="H205" s="13"/>
      <c r="I205" s="43"/>
      <c r="J205" s="43"/>
      <c r="K205" s="43"/>
      <c r="L205" s="43"/>
      <c r="M205" s="43"/>
    </row>
    <row r="206" spans="1:22" s="39" customFormat="1" ht="18.5" x14ac:dyDescent="0.45">
      <c r="A206" s="13"/>
      <c r="B206" s="13"/>
      <c r="C206" s="13"/>
      <c r="D206" s="13"/>
      <c r="E206" s="13"/>
      <c r="F206" s="13"/>
      <c r="G206" s="13"/>
      <c r="H206" s="13"/>
      <c r="I206" s="43"/>
      <c r="J206" s="43"/>
      <c r="K206" s="43"/>
      <c r="L206" s="43"/>
      <c r="M206" s="43"/>
    </row>
    <row r="207" spans="1:22" s="39" customFormat="1" ht="18.5" x14ac:dyDescent="0.45">
      <c r="A207" s="13"/>
      <c r="B207" s="13"/>
      <c r="C207" s="13"/>
      <c r="D207" s="13"/>
      <c r="E207" s="13"/>
      <c r="F207" s="13"/>
      <c r="G207" s="13"/>
      <c r="H207" s="13"/>
      <c r="I207" s="43"/>
      <c r="J207" s="43"/>
      <c r="K207" s="43"/>
      <c r="L207" s="43"/>
      <c r="M207" s="43"/>
    </row>
    <row r="208" spans="1:22" s="39" customFormat="1" ht="18.5" x14ac:dyDescent="0.45">
      <c r="A208" s="13"/>
      <c r="B208" s="13"/>
      <c r="C208" s="13"/>
      <c r="D208" s="13"/>
      <c r="E208" s="13"/>
      <c r="F208" s="13"/>
      <c r="G208" s="13"/>
      <c r="H208" s="13"/>
      <c r="I208" s="43"/>
      <c r="J208" s="43"/>
      <c r="K208" s="43"/>
      <c r="L208" s="43"/>
      <c r="M208" s="43"/>
    </row>
    <row r="209" spans="1:13" s="39" customFormat="1" ht="18.5" x14ac:dyDescent="0.45">
      <c r="A209" s="13"/>
      <c r="B209" s="13"/>
      <c r="C209" s="13"/>
      <c r="D209" s="13"/>
      <c r="E209" s="13"/>
      <c r="F209" s="13"/>
      <c r="G209" s="13"/>
      <c r="H209" s="13"/>
      <c r="I209" s="43"/>
      <c r="J209" s="43"/>
      <c r="K209" s="43"/>
      <c r="L209" s="43"/>
      <c r="M209" s="43"/>
    </row>
    <row r="210" spans="1:13" s="39" customFormat="1" ht="18.5" x14ac:dyDescent="0.45">
      <c r="A210" s="13"/>
      <c r="B210" s="13"/>
      <c r="C210" s="13"/>
      <c r="D210" s="13"/>
      <c r="E210" s="13"/>
      <c r="F210" s="13"/>
      <c r="G210" s="13"/>
      <c r="H210" s="13"/>
      <c r="I210" s="43"/>
      <c r="J210" s="43"/>
      <c r="K210" s="43"/>
      <c r="L210" s="43"/>
      <c r="M210" s="43"/>
    </row>
    <row r="211" spans="1:13" s="39" customFormat="1" ht="18.5" x14ac:dyDescent="0.45">
      <c r="I211" s="43"/>
      <c r="J211" s="43"/>
      <c r="K211" s="43"/>
      <c r="L211" s="43"/>
      <c r="M211" s="43"/>
    </row>
    <row r="212" spans="1:13" s="39" customFormat="1" ht="18.5" x14ac:dyDescent="0.45">
      <c r="I212" s="43"/>
      <c r="J212" s="43"/>
      <c r="K212" s="43"/>
      <c r="L212" s="43"/>
      <c r="M212" s="43"/>
    </row>
    <row r="213" spans="1:13" s="39" customFormat="1" ht="18.5" x14ac:dyDescent="0.45">
      <c r="I213" s="43"/>
      <c r="J213" s="43"/>
      <c r="K213" s="43"/>
      <c r="L213" s="43"/>
      <c r="M213" s="43"/>
    </row>
    <row r="214" spans="1:13" s="39" customFormat="1" ht="18.5" x14ac:dyDescent="0.45">
      <c r="I214" s="43"/>
      <c r="J214" s="43"/>
      <c r="K214" s="43"/>
      <c r="L214" s="43"/>
      <c r="M214" s="43"/>
    </row>
    <row r="215" spans="1:13" s="39" customFormat="1" ht="18.5" x14ac:dyDescent="0.45">
      <c r="I215" s="43"/>
      <c r="J215" s="43"/>
      <c r="K215" s="43"/>
      <c r="L215" s="43"/>
      <c r="M215" s="43"/>
    </row>
    <row r="216" spans="1:13" s="39" customFormat="1" ht="18.5" x14ac:dyDescent="0.45">
      <c r="I216" s="43"/>
      <c r="J216" s="43"/>
      <c r="K216" s="43"/>
      <c r="L216" s="43"/>
      <c r="M216" s="43"/>
    </row>
    <row r="217" spans="1:13" s="39" customFormat="1" ht="18.5" x14ac:dyDescent="0.45">
      <c r="I217" s="43"/>
      <c r="J217" s="43"/>
      <c r="K217" s="43"/>
      <c r="L217" s="43"/>
      <c r="M217" s="43"/>
    </row>
    <row r="218" spans="1:13" s="39" customFormat="1" ht="18.5" x14ac:dyDescent="0.45">
      <c r="I218" s="43"/>
      <c r="J218" s="43"/>
      <c r="K218" s="43"/>
      <c r="L218" s="43"/>
      <c r="M218" s="43"/>
    </row>
    <row r="219" spans="1:13" s="39" customFormat="1" ht="18.5" x14ac:dyDescent="0.45">
      <c r="I219" s="43"/>
      <c r="J219" s="43"/>
      <c r="K219" s="43"/>
      <c r="L219" s="43"/>
      <c r="M219" s="43"/>
    </row>
    <row r="220" spans="1:13" s="39" customFormat="1" ht="18.5" x14ac:dyDescent="0.45"/>
    <row r="221" spans="1:13" s="39" customFormat="1" ht="18.5" x14ac:dyDescent="0.45"/>
    <row r="222" spans="1:13" s="39" customFormat="1" ht="18.5" x14ac:dyDescent="0.45"/>
    <row r="223" spans="1:13" s="39" customFormat="1" ht="18.5" x14ac:dyDescent="0.45"/>
    <row r="224" spans="1:13" s="39" customFormat="1" ht="18.5" x14ac:dyDescent="0.45"/>
    <row r="225" s="39" customFormat="1" ht="18.5" x14ac:dyDescent="0.45"/>
  </sheetData>
  <mergeCells count="1">
    <mergeCell ref="F1:L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2C244B-5B0C-4750-B2C9-AD1444CCD09B}">
  <dimension ref="A1:N66"/>
  <sheetViews>
    <sheetView showGridLines="0" zoomScale="88" workbookViewId="0">
      <selection activeCell="H6" sqref="H6"/>
    </sheetView>
  </sheetViews>
  <sheetFormatPr defaultRowHeight="14.5" x14ac:dyDescent="0.35"/>
  <cols>
    <col min="2" max="2" width="15" bestFit="1" customWidth="1"/>
    <col min="3" max="3" width="16.54296875" bestFit="1" customWidth="1"/>
    <col min="4" max="4" width="14.90625" bestFit="1" customWidth="1"/>
    <col min="5" max="5" width="17" customWidth="1"/>
  </cols>
  <sheetData>
    <row r="1" spans="1:14" ht="36" x14ac:dyDescent="0.8">
      <c r="A1" s="115" t="s">
        <v>168</v>
      </c>
      <c r="B1" s="115"/>
      <c r="C1" s="115"/>
      <c r="D1" s="115"/>
      <c r="E1" s="113"/>
      <c r="F1" s="224"/>
      <c r="G1" s="224"/>
      <c r="H1" s="224"/>
      <c r="I1" s="224"/>
      <c r="J1" s="224"/>
      <c r="K1" s="224"/>
      <c r="L1" s="224"/>
      <c r="M1" s="36"/>
      <c r="N1" s="36"/>
    </row>
    <row r="2" spans="1:14" ht="18.5" x14ac:dyDescent="0.45">
      <c r="A2" s="87" t="s">
        <v>350</v>
      </c>
      <c r="B2" s="127"/>
      <c r="C2" s="127"/>
      <c r="D2" s="127"/>
      <c r="E2" s="125"/>
      <c r="F2" s="33"/>
      <c r="G2" s="33"/>
      <c r="H2" s="33"/>
      <c r="I2" s="35"/>
      <c r="J2" s="35"/>
      <c r="K2" s="35"/>
      <c r="L2" s="35"/>
      <c r="M2" s="35"/>
      <c r="N2" s="35"/>
    </row>
    <row r="4" spans="1:14" x14ac:dyDescent="0.35">
      <c r="A4" s="162" t="s">
        <v>348</v>
      </c>
      <c r="B4" s="155" t="s">
        <v>351</v>
      </c>
      <c r="C4" s="155" t="s">
        <v>352</v>
      </c>
      <c r="D4" s="155" t="s">
        <v>353</v>
      </c>
      <c r="E4" s="155" t="s">
        <v>352</v>
      </c>
    </row>
    <row r="5" spans="1:14" x14ac:dyDescent="0.35">
      <c r="A5" s="157"/>
      <c r="B5" s="160"/>
      <c r="C5" s="160"/>
      <c r="D5" s="160"/>
      <c r="E5" s="160"/>
    </row>
    <row r="6" spans="1:14" x14ac:dyDescent="0.35">
      <c r="A6" s="168">
        <v>43497</v>
      </c>
      <c r="B6" s="161">
        <v>35867.440000000002</v>
      </c>
      <c r="C6" s="171"/>
      <c r="D6" s="161">
        <v>1746.6</v>
      </c>
      <c r="G6" t="s">
        <v>405</v>
      </c>
      <c r="H6">
        <f>MAX(D42:D66)</f>
        <v>5192.6000000000004</v>
      </c>
    </row>
    <row r="7" spans="1:14" x14ac:dyDescent="0.35">
      <c r="A7" s="168">
        <v>43525</v>
      </c>
      <c r="B7" s="161">
        <v>38672.910000000003</v>
      </c>
      <c r="C7" s="171">
        <f>B7/B6-1</f>
        <v>7.8217737312727076E-2</v>
      </c>
      <c r="D7" s="161">
        <v>1751.8</v>
      </c>
      <c r="E7" s="171">
        <f>D7/D6-1</f>
        <v>2.9772128707203915E-3</v>
      </c>
      <c r="G7" t="s">
        <v>404</v>
      </c>
      <c r="H7">
        <f>MIN(D42:D66)</f>
        <v>2975.5</v>
      </c>
    </row>
    <row r="8" spans="1:14" x14ac:dyDescent="0.35">
      <c r="A8" s="168">
        <v>43556</v>
      </c>
      <c r="B8" s="161">
        <v>39031.550000000003</v>
      </c>
      <c r="C8" s="171">
        <f t="shared" ref="C8:C66" si="0">B8/B7-1</f>
        <v>9.2736750350568276E-3</v>
      </c>
      <c r="D8" s="161">
        <v>1719.95</v>
      </c>
      <c r="E8" s="171">
        <f t="shared" ref="E8:E66" si="1">D8/D7-1</f>
        <v>-1.818129923507239E-2</v>
      </c>
    </row>
    <row r="9" spans="1:14" x14ac:dyDescent="0.35">
      <c r="A9" s="168">
        <v>43586</v>
      </c>
      <c r="B9" s="161">
        <v>39714.199999999997</v>
      </c>
      <c r="C9" s="171">
        <f t="shared" si="0"/>
        <v>1.7489697437073293E-2</v>
      </c>
      <c r="D9" s="161">
        <v>1790.05</v>
      </c>
      <c r="E9" s="171">
        <f t="shared" si="1"/>
        <v>4.0756998749963635E-2</v>
      </c>
      <c r="G9" s="109" t="s">
        <v>349</v>
      </c>
      <c r="H9" s="163">
        <f>SLOPE(E7:E66,C7:C66)</f>
        <v>0.57707094787982971</v>
      </c>
    </row>
    <row r="10" spans="1:14" x14ac:dyDescent="0.35">
      <c r="A10" s="168">
        <v>43617</v>
      </c>
      <c r="B10" s="161">
        <v>39394.639999999999</v>
      </c>
      <c r="C10" s="171">
        <f t="shared" si="0"/>
        <v>-8.0464921866737482E-3</v>
      </c>
      <c r="D10" s="161">
        <v>1668.65</v>
      </c>
      <c r="E10" s="171">
        <f t="shared" si="1"/>
        <v>-6.7819334655456531E-2</v>
      </c>
    </row>
    <row r="11" spans="1:14" x14ac:dyDescent="0.35">
      <c r="A11" s="168">
        <v>43647</v>
      </c>
      <c r="B11" s="161">
        <v>37481.120000000003</v>
      </c>
      <c r="C11" s="171">
        <f t="shared" si="0"/>
        <v>-4.8573105376771952E-2</v>
      </c>
      <c r="D11" s="161">
        <v>1736.85</v>
      </c>
      <c r="E11" s="171">
        <f t="shared" si="1"/>
        <v>4.0871363077937151E-2</v>
      </c>
    </row>
    <row r="12" spans="1:14" x14ac:dyDescent="0.35">
      <c r="A12" s="168">
        <v>43678</v>
      </c>
      <c r="B12" s="161">
        <v>37332.79</v>
      </c>
      <c r="C12" s="171">
        <f t="shared" si="0"/>
        <v>-3.9574591154160066E-3</v>
      </c>
      <c r="D12" s="161">
        <v>1816.85</v>
      </c>
      <c r="E12" s="171">
        <f t="shared" si="1"/>
        <v>4.6060396695166483E-2</v>
      </c>
    </row>
    <row r="13" spans="1:14" x14ac:dyDescent="0.35">
      <c r="A13" s="168">
        <v>43709</v>
      </c>
      <c r="B13" s="161">
        <v>38667.33</v>
      </c>
      <c r="C13" s="171">
        <f t="shared" si="0"/>
        <v>3.5747127391229094E-2</v>
      </c>
      <c r="D13" s="161">
        <v>1903.85</v>
      </c>
      <c r="E13" s="171">
        <f t="shared" si="1"/>
        <v>4.7885075818036693E-2</v>
      </c>
    </row>
    <row r="14" spans="1:14" x14ac:dyDescent="0.35">
      <c r="A14" s="168">
        <v>43739</v>
      </c>
      <c r="B14" s="161">
        <v>40129.050000000003</v>
      </c>
      <c r="C14" s="171">
        <f t="shared" si="0"/>
        <v>3.7802454940643715E-2</v>
      </c>
      <c r="D14" s="161">
        <v>1989.85</v>
      </c>
      <c r="E14" s="171">
        <f t="shared" si="1"/>
        <v>4.5171625915907176E-2</v>
      </c>
    </row>
    <row r="15" spans="1:14" x14ac:dyDescent="0.35">
      <c r="A15" s="168">
        <v>43770</v>
      </c>
      <c r="B15" s="161">
        <v>40793.81</v>
      </c>
      <c r="C15" s="171">
        <f t="shared" si="0"/>
        <v>1.6565555376965024E-2</v>
      </c>
      <c r="D15" s="161">
        <v>2025.2</v>
      </c>
      <c r="E15" s="171">
        <f t="shared" si="1"/>
        <v>1.776515817775226E-2</v>
      </c>
    </row>
    <row r="16" spans="1:14" x14ac:dyDescent="0.35">
      <c r="A16" s="168">
        <v>43800</v>
      </c>
      <c r="B16" s="161">
        <v>41253.74</v>
      </c>
      <c r="C16" s="171">
        <f t="shared" si="0"/>
        <v>1.127450463685542E-2</v>
      </c>
      <c r="D16" s="161">
        <v>2013.55</v>
      </c>
      <c r="E16" s="171">
        <f t="shared" si="1"/>
        <v>-5.7525182698006105E-3</v>
      </c>
    </row>
    <row r="17" spans="1:5" x14ac:dyDescent="0.35">
      <c r="A17" s="168">
        <v>43831</v>
      </c>
      <c r="B17" s="161">
        <v>40723.49</v>
      </c>
      <c r="C17" s="171">
        <f t="shared" si="0"/>
        <v>-1.285338008141812E-2</v>
      </c>
      <c r="D17" s="161">
        <v>2394.3000000000002</v>
      </c>
      <c r="E17" s="171">
        <f t="shared" si="1"/>
        <v>0.18909388890268453</v>
      </c>
    </row>
    <row r="18" spans="1:5" x14ac:dyDescent="0.35">
      <c r="A18" s="168">
        <v>43862</v>
      </c>
      <c r="B18" s="161">
        <v>38297.29</v>
      </c>
      <c r="C18" s="171">
        <f t="shared" si="0"/>
        <v>-5.957740851778659E-2</v>
      </c>
      <c r="D18" s="161">
        <v>2627.9</v>
      </c>
      <c r="E18" s="171">
        <f t="shared" si="1"/>
        <v>9.7565050327862002E-2</v>
      </c>
    </row>
    <row r="19" spans="1:5" x14ac:dyDescent="0.35">
      <c r="A19" s="168">
        <v>43891</v>
      </c>
      <c r="B19" s="161">
        <v>29468.49</v>
      </c>
      <c r="C19" s="171">
        <f t="shared" si="0"/>
        <v>-0.23053328316442234</v>
      </c>
      <c r="D19" s="161">
        <v>2328.85</v>
      </c>
      <c r="E19" s="171">
        <f t="shared" si="1"/>
        <v>-0.11379808972944183</v>
      </c>
    </row>
    <row r="20" spans="1:5" x14ac:dyDescent="0.35">
      <c r="A20" s="168">
        <v>43922</v>
      </c>
      <c r="B20" s="161">
        <v>33717.620000000003</v>
      </c>
      <c r="C20" s="171">
        <f t="shared" si="0"/>
        <v>0.14419232203618182</v>
      </c>
      <c r="D20" s="161">
        <v>2608.4499999999998</v>
      </c>
      <c r="E20" s="171">
        <f t="shared" si="1"/>
        <v>0.12005925671468742</v>
      </c>
    </row>
    <row r="21" spans="1:5" x14ac:dyDescent="0.35">
      <c r="A21" s="168">
        <v>43952</v>
      </c>
      <c r="B21" s="161">
        <v>32424.1</v>
      </c>
      <c r="C21" s="171">
        <f t="shared" si="0"/>
        <v>-3.8363324576289881E-2</v>
      </c>
      <c r="D21" s="161">
        <v>2261.1999999999998</v>
      </c>
      <c r="E21" s="171">
        <f t="shared" si="1"/>
        <v>-0.13312503594088443</v>
      </c>
    </row>
    <row r="22" spans="1:5" x14ac:dyDescent="0.35">
      <c r="A22" s="168">
        <v>43983</v>
      </c>
      <c r="B22" s="161">
        <v>34915.800000000003</v>
      </c>
      <c r="C22" s="171">
        <f t="shared" si="0"/>
        <v>7.6847159982852409E-2</v>
      </c>
      <c r="D22" s="161">
        <v>2366.1</v>
      </c>
      <c r="E22" s="171">
        <f t="shared" si="1"/>
        <v>4.6391296656642433E-2</v>
      </c>
    </row>
    <row r="23" spans="1:5" x14ac:dyDescent="0.35">
      <c r="A23" s="168">
        <v>44013</v>
      </c>
      <c r="B23" s="161">
        <v>37606.89</v>
      </c>
      <c r="C23" s="171">
        <f t="shared" si="0"/>
        <v>7.7073703022700224E-2</v>
      </c>
      <c r="D23" s="161">
        <v>2662.4</v>
      </c>
      <c r="E23" s="171">
        <f t="shared" si="1"/>
        <v>0.12522716706817127</v>
      </c>
    </row>
    <row r="24" spans="1:5" x14ac:dyDescent="0.35">
      <c r="A24" s="168">
        <v>44044</v>
      </c>
      <c r="B24" s="161">
        <v>38628.29</v>
      </c>
      <c r="C24" s="171">
        <f t="shared" si="0"/>
        <v>2.7159916706752441E-2</v>
      </c>
      <c r="D24" s="161">
        <v>2720.8</v>
      </c>
      <c r="E24" s="171">
        <f t="shared" si="1"/>
        <v>2.1935096153846256E-2</v>
      </c>
    </row>
    <row r="25" spans="1:5" x14ac:dyDescent="0.35">
      <c r="A25" s="168">
        <v>44075</v>
      </c>
      <c r="B25" s="161">
        <v>38067.93</v>
      </c>
      <c r="C25" s="171">
        <f t="shared" si="0"/>
        <v>-1.4506466633651183E-2</v>
      </c>
      <c r="D25" s="161">
        <v>2779.05</v>
      </c>
      <c r="E25" s="171">
        <f t="shared" si="1"/>
        <v>2.140914436930319E-2</v>
      </c>
    </row>
    <row r="26" spans="1:5" x14ac:dyDescent="0.35">
      <c r="A26" s="168">
        <v>44105</v>
      </c>
      <c r="B26" s="161">
        <v>39614.07</v>
      </c>
      <c r="C26" s="171">
        <f t="shared" si="0"/>
        <v>4.061528956263194E-2</v>
      </c>
      <c r="D26" s="161">
        <v>2634.25</v>
      </c>
      <c r="E26" s="171">
        <f t="shared" si="1"/>
        <v>-5.2104136305572091E-2</v>
      </c>
    </row>
    <row r="27" spans="1:5" x14ac:dyDescent="0.35">
      <c r="A27" s="168">
        <v>44136</v>
      </c>
      <c r="B27" s="161">
        <v>44149.72</v>
      </c>
      <c r="C27" s="171">
        <f t="shared" si="0"/>
        <v>0.11449593540880798</v>
      </c>
      <c r="D27" s="161">
        <v>2840.65</v>
      </c>
      <c r="E27" s="171">
        <f t="shared" si="1"/>
        <v>7.8352472240675652E-2</v>
      </c>
    </row>
    <row r="28" spans="1:5" x14ac:dyDescent="0.35">
      <c r="A28" s="168">
        <v>44166</v>
      </c>
      <c r="B28" s="161">
        <v>47751.33</v>
      </c>
      <c r="C28" s="171">
        <f t="shared" si="0"/>
        <v>8.15771878054945E-2</v>
      </c>
      <c r="D28" s="161">
        <v>2908.7</v>
      </c>
      <c r="E28" s="171">
        <f t="shared" si="1"/>
        <v>2.3955784767570654E-2</v>
      </c>
    </row>
    <row r="29" spans="1:5" x14ac:dyDescent="0.35">
      <c r="A29" s="168">
        <v>44197</v>
      </c>
      <c r="B29" s="161">
        <v>46285.77</v>
      </c>
      <c r="C29" s="171">
        <f t="shared" si="0"/>
        <v>-3.0691501158187751E-2</v>
      </c>
      <c r="D29" s="161">
        <v>3003.75</v>
      </c>
      <c r="E29" s="171">
        <f t="shared" si="1"/>
        <v>3.2677828583215884E-2</v>
      </c>
    </row>
    <row r="30" spans="1:5" x14ac:dyDescent="0.35">
      <c r="A30" s="168">
        <v>44228</v>
      </c>
      <c r="B30" s="161">
        <v>49099.99</v>
      </c>
      <c r="C30" s="171">
        <f t="shared" si="0"/>
        <v>6.0800976196355938E-2</v>
      </c>
      <c r="D30" s="161">
        <v>2718.6</v>
      </c>
      <c r="E30" s="171">
        <f t="shared" si="1"/>
        <v>-9.4931335830212293E-2</v>
      </c>
    </row>
    <row r="31" spans="1:5" x14ac:dyDescent="0.35">
      <c r="A31" s="168">
        <v>44256</v>
      </c>
      <c r="B31" s="161">
        <v>49509.15</v>
      </c>
      <c r="C31" s="171">
        <f t="shared" si="0"/>
        <v>8.3331992531974208E-3</v>
      </c>
      <c r="D31" s="161">
        <v>2772.2</v>
      </c>
      <c r="E31" s="171">
        <f t="shared" si="1"/>
        <v>1.9716030309718136E-2</v>
      </c>
    </row>
    <row r="32" spans="1:5" x14ac:dyDescent="0.35">
      <c r="A32" s="168">
        <v>44287</v>
      </c>
      <c r="B32" s="161">
        <v>48782.36</v>
      </c>
      <c r="C32" s="171">
        <f t="shared" si="0"/>
        <v>-1.4679912703005393E-2</v>
      </c>
      <c r="D32" s="161">
        <v>2757.25</v>
      </c>
      <c r="E32" s="171">
        <f t="shared" si="1"/>
        <v>-5.3928288002308422E-3</v>
      </c>
    </row>
    <row r="33" spans="1:5" x14ac:dyDescent="0.35">
      <c r="A33" s="168">
        <v>44317</v>
      </c>
      <c r="B33" s="161">
        <v>51937.440000000002</v>
      </c>
      <c r="C33" s="171">
        <f t="shared" si="0"/>
        <v>6.4676657709877183E-2</v>
      </c>
      <c r="D33" s="161">
        <v>2984.9</v>
      </c>
      <c r="E33" s="171">
        <f t="shared" si="1"/>
        <v>8.2564149061564951E-2</v>
      </c>
    </row>
    <row r="34" spans="1:5" x14ac:dyDescent="0.35">
      <c r="A34" s="168">
        <v>44348</v>
      </c>
      <c r="B34" s="161">
        <v>52482.71</v>
      </c>
      <c r="C34" s="171">
        <f t="shared" si="0"/>
        <v>1.0498592152404784E-2</v>
      </c>
      <c r="D34" s="161">
        <v>3196.7</v>
      </c>
      <c r="E34" s="171">
        <f t="shared" si="1"/>
        <v>7.0957150993333107E-2</v>
      </c>
    </row>
    <row r="35" spans="1:5" x14ac:dyDescent="0.35">
      <c r="A35" s="168">
        <v>44378</v>
      </c>
      <c r="B35" s="161">
        <v>52586.84</v>
      </c>
      <c r="C35" s="171">
        <f t="shared" si="0"/>
        <v>1.9840819957657185E-3</v>
      </c>
      <c r="D35" s="161">
        <v>3454.55</v>
      </c>
      <c r="E35" s="171">
        <f t="shared" si="1"/>
        <v>8.0661306972815927E-2</v>
      </c>
    </row>
    <row r="36" spans="1:5" x14ac:dyDescent="0.35">
      <c r="A36" s="168">
        <v>44409</v>
      </c>
      <c r="B36" s="161">
        <v>57552.39</v>
      </c>
      <c r="C36" s="171">
        <f t="shared" si="0"/>
        <v>9.4425715635318763E-2</v>
      </c>
      <c r="D36" s="161">
        <v>3878.6</v>
      </c>
      <c r="E36" s="171">
        <f t="shared" si="1"/>
        <v>0.12275115427479699</v>
      </c>
    </row>
    <row r="37" spans="1:5" x14ac:dyDescent="0.35">
      <c r="A37" s="168">
        <v>44440</v>
      </c>
      <c r="B37" s="161">
        <v>59126.36</v>
      </c>
      <c r="C37" s="171">
        <f t="shared" si="0"/>
        <v>2.7348473277999386E-2</v>
      </c>
      <c r="D37" s="161">
        <v>3980.05</v>
      </c>
      <c r="E37" s="171">
        <f t="shared" si="1"/>
        <v>2.6156345072964493E-2</v>
      </c>
    </row>
    <row r="38" spans="1:5" x14ac:dyDescent="0.35">
      <c r="A38" s="168">
        <v>44470</v>
      </c>
      <c r="B38" s="161">
        <v>59306.93</v>
      </c>
      <c r="C38" s="171">
        <f t="shared" si="0"/>
        <v>3.0539678072520893E-3</v>
      </c>
      <c r="D38" s="161">
        <v>3608.45</v>
      </c>
      <c r="E38" s="171">
        <f t="shared" si="1"/>
        <v>-9.3365661235411679E-2</v>
      </c>
    </row>
    <row r="39" spans="1:5" x14ac:dyDescent="0.35">
      <c r="A39" s="168">
        <v>44501</v>
      </c>
      <c r="B39" s="161">
        <v>57064.87</v>
      </c>
      <c r="C39" s="171">
        <f t="shared" si="0"/>
        <v>-3.7804351026094252E-2</v>
      </c>
      <c r="D39" s="161">
        <v>3591.3</v>
      </c>
      <c r="E39" s="171">
        <f t="shared" si="1"/>
        <v>-4.7527331679806384E-3</v>
      </c>
    </row>
    <row r="40" spans="1:5" x14ac:dyDescent="0.35">
      <c r="A40" s="168">
        <v>44531</v>
      </c>
      <c r="B40" s="161">
        <v>58253.82</v>
      </c>
      <c r="C40" s="171">
        <f t="shared" si="0"/>
        <v>2.0835060169242414E-2</v>
      </c>
      <c r="D40" s="161">
        <v>3622.95</v>
      </c>
      <c r="E40" s="171">
        <f t="shared" si="1"/>
        <v>8.8129646646060156E-3</v>
      </c>
    </row>
    <row r="41" spans="1:5" x14ac:dyDescent="0.35">
      <c r="A41" s="168">
        <v>44562</v>
      </c>
      <c r="B41" s="161">
        <v>58014.17</v>
      </c>
      <c r="C41" s="171">
        <f t="shared" si="0"/>
        <v>-4.113893303477778E-3</v>
      </c>
      <c r="D41" s="161">
        <v>3541.6</v>
      </c>
      <c r="E41" s="171">
        <f t="shared" si="1"/>
        <v>-2.2454077478298085E-2</v>
      </c>
    </row>
    <row r="42" spans="1:5" x14ac:dyDescent="0.35">
      <c r="A42" s="168">
        <v>44593</v>
      </c>
      <c r="B42" s="161">
        <v>56247.28</v>
      </c>
      <c r="C42" s="171">
        <f t="shared" si="0"/>
        <v>-3.0456179929834404E-2</v>
      </c>
      <c r="D42" s="161">
        <v>3278.35</v>
      </c>
      <c r="E42" s="171">
        <f t="shared" si="1"/>
        <v>-7.4330810932911717E-2</v>
      </c>
    </row>
    <row r="43" spans="1:5" x14ac:dyDescent="0.35">
      <c r="A43" s="168">
        <v>44621</v>
      </c>
      <c r="B43" s="161">
        <v>58568.51</v>
      </c>
      <c r="C43" s="171">
        <f t="shared" si="0"/>
        <v>4.1268306663006626E-2</v>
      </c>
      <c r="D43" s="161">
        <v>3617.1</v>
      </c>
      <c r="E43" s="171">
        <f t="shared" si="1"/>
        <v>0.10332941876248714</v>
      </c>
    </row>
    <row r="44" spans="1:5" x14ac:dyDescent="0.35">
      <c r="A44" s="168">
        <v>44652</v>
      </c>
      <c r="B44" s="161">
        <v>57060.87</v>
      </c>
      <c r="C44" s="171">
        <f t="shared" si="0"/>
        <v>-2.5741477800954815E-2</v>
      </c>
      <c r="D44" s="161">
        <v>3253.05</v>
      </c>
      <c r="E44" s="171">
        <f t="shared" si="1"/>
        <v>-0.10064692709629253</v>
      </c>
    </row>
    <row r="45" spans="1:5" x14ac:dyDescent="0.35">
      <c r="A45" s="168">
        <v>44682</v>
      </c>
      <c r="B45" s="161">
        <v>55566.41</v>
      </c>
      <c r="C45" s="171">
        <f t="shared" si="0"/>
        <v>-2.6190627657797672E-2</v>
      </c>
      <c r="D45" s="161">
        <v>3152.15</v>
      </c>
      <c r="E45" s="171">
        <f t="shared" si="1"/>
        <v>-3.101704554187612E-2</v>
      </c>
    </row>
    <row r="46" spans="1:5" x14ac:dyDescent="0.35">
      <c r="A46" s="168">
        <v>44713</v>
      </c>
      <c r="B46" s="161">
        <v>53018.94</v>
      </c>
      <c r="C46" s="171">
        <f t="shared" si="0"/>
        <v>-4.5845502705681329E-2</v>
      </c>
      <c r="D46" s="161">
        <v>3001.05</v>
      </c>
      <c r="E46" s="171">
        <f t="shared" si="1"/>
        <v>-4.7935536062687301E-2</v>
      </c>
    </row>
    <row r="47" spans="1:5" x14ac:dyDescent="0.35">
      <c r="A47" s="168">
        <v>44743</v>
      </c>
      <c r="B47" s="161">
        <v>57570.25</v>
      </c>
      <c r="C47" s="171">
        <f t="shared" si="0"/>
        <v>8.5843096825398479E-2</v>
      </c>
      <c r="D47" s="161">
        <v>3221.55</v>
      </c>
      <c r="E47" s="171">
        <f t="shared" si="1"/>
        <v>7.3474284000599743E-2</v>
      </c>
    </row>
    <row r="48" spans="1:5" x14ac:dyDescent="0.35">
      <c r="A48" s="168">
        <v>44774</v>
      </c>
      <c r="B48" s="161">
        <v>59537.07</v>
      </c>
      <c r="C48" s="171">
        <f t="shared" si="0"/>
        <v>3.4163825934401926E-2</v>
      </c>
      <c r="D48" s="161">
        <v>2975.5</v>
      </c>
      <c r="E48" s="171">
        <f t="shared" si="1"/>
        <v>-7.6376278499480144E-2</v>
      </c>
    </row>
    <row r="49" spans="1:5" x14ac:dyDescent="0.35">
      <c r="A49" s="168">
        <v>44805</v>
      </c>
      <c r="B49" s="161">
        <v>57426.92</v>
      </c>
      <c r="C49" s="171">
        <f t="shared" si="0"/>
        <v>-3.5442624233943731E-2</v>
      </c>
      <c r="D49" s="161">
        <v>3279.75</v>
      </c>
      <c r="E49" s="171">
        <f t="shared" si="1"/>
        <v>0.10225172239959668</v>
      </c>
    </row>
    <row r="50" spans="1:5" x14ac:dyDescent="0.35">
      <c r="A50" s="168">
        <v>44835</v>
      </c>
      <c r="B50" s="161">
        <v>60746.59</v>
      </c>
      <c r="C50" s="171">
        <f t="shared" si="0"/>
        <v>5.7806861311733293E-2</v>
      </c>
      <c r="D50" s="161">
        <v>3155.05</v>
      </c>
      <c r="E50" s="171">
        <f t="shared" si="1"/>
        <v>-3.8021190639530356E-2</v>
      </c>
    </row>
    <row r="51" spans="1:5" x14ac:dyDescent="0.35">
      <c r="A51" s="168">
        <v>44866</v>
      </c>
      <c r="B51" s="161">
        <v>63099.65</v>
      </c>
      <c r="C51" s="171">
        <f t="shared" si="0"/>
        <v>3.8735672241026364E-2</v>
      </c>
      <c r="D51" s="161">
        <v>3126.35</v>
      </c>
      <c r="E51" s="171">
        <f t="shared" si="1"/>
        <v>-9.0965277887831153E-3</v>
      </c>
    </row>
    <row r="52" spans="1:5" x14ac:dyDescent="0.35">
      <c r="A52" s="168">
        <v>44896</v>
      </c>
      <c r="B52" s="161">
        <v>60840.74</v>
      </c>
      <c r="C52" s="171">
        <f t="shared" si="0"/>
        <v>-3.5799089218403024E-2</v>
      </c>
      <c r="D52" s="161">
        <v>3005.25</v>
      </c>
      <c r="E52" s="171">
        <f t="shared" si="1"/>
        <v>-3.8735266364930299E-2</v>
      </c>
    </row>
    <row r="53" spans="1:5" x14ac:dyDescent="0.35">
      <c r="A53" s="168">
        <v>44927</v>
      </c>
      <c r="B53" s="161">
        <v>59549.9</v>
      </c>
      <c r="C53" s="171">
        <f t="shared" si="0"/>
        <v>-2.1216704464804281E-2</v>
      </c>
      <c r="D53" s="161">
        <v>3009.75</v>
      </c>
      <c r="E53" s="171">
        <f t="shared" si="1"/>
        <v>1.4973795857249339E-3</v>
      </c>
    </row>
    <row r="54" spans="1:5" x14ac:dyDescent="0.35">
      <c r="A54" s="168">
        <v>44958</v>
      </c>
      <c r="B54" s="161">
        <v>58962.12</v>
      </c>
      <c r="C54" s="171">
        <f t="shared" si="0"/>
        <v>-9.8703776160833367E-3</v>
      </c>
      <c r="D54" s="161">
        <v>3175.5</v>
      </c>
      <c r="E54" s="171">
        <f t="shared" si="1"/>
        <v>5.5071019187640236E-2</v>
      </c>
    </row>
    <row r="55" spans="1:5" x14ac:dyDescent="0.35">
      <c r="A55" s="168">
        <v>44986</v>
      </c>
      <c r="B55" s="161">
        <v>58991.519999999997</v>
      </c>
      <c r="C55" s="171">
        <f t="shared" si="0"/>
        <v>4.9862521903887291E-4</v>
      </c>
      <c r="D55" s="161">
        <v>3397.85</v>
      </c>
      <c r="E55" s="171">
        <f t="shared" si="1"/>
        <v>7.002046921744598E-2</v>
      </c>
    </row>
    <row r="56" spans="1:5" x14ac:dyDescent="0.35">
      <c r="A56" s="168">
        <v>45017</v>
      </c>
      <c r="B56" s="161">
        <v>61112.44</v>
      </c>
      <c r="C56" s="171">
        <f t="shared" si="0"/>
        <v>3.5952964087041739E-2</v>
      </c>
      <c r="D56" s="161">
        <v>3513.5</v>
      </c>
      <c r="E56" s="171">
        <f t="shared" si="1"/>
        <v>3.4036228791735956E-2</v>
      </c>
    </row>
    <row r="57" spans="1:5" x14ac:dyDescent="0.35">
      <c r="A57" s="168">
        <v>45047</v>
      </c>
      <c r="B57" s="161">
        <v>62622.239999999998</v>
      </c>
      <c r="C57" s="171">
        <f t="shared" si="0"/>
        <v>2.4705280954254061E-2</v>
      </c>
      <c r="D57" s="161">
        <v>3358</v>
      </c>
      <c r="E57" s="171">
        <f t="shared" si="1"/>
        <v>-4.4257862530240555E-2</v>
      </c>
    </row>
    <row r="58" spans="1:5" x14ac:dyDescent="0.35">
      <c r="A58" s="168">
        <v>45078</v>
      </c>
      <c r="B58" s="161">
        <v>64718.559999999998</v>
      </c>
      <c r="C58" s="171">
        <f t="shared" si="0"/>
        <v>3.3475646990589913E-2</v>
      </c>
      <c r="D58" s="161">
        <v>3512.3</v>
      </c>
      <c r="E58" s="171">
        <f t="shared" si="1"/>
        <v>4.5949970220369396E-2</v>
      </c>
    </row>
    <row r="59" spans="1:5" x14ac:dyDescent="0.35">
      <c r="A59" s="168">
        <v>45108</v>
      </c>
      <c r="B59" s="161">
        <v>66527.67</v>
      </c>
      <c r="C59" s="171">
        <f t="shared" si="0"/>
        <v>2.7953495875062684E-2</v>
      </c>
      <c r="D59" s="161">
        <v>3977.2</v>
      </c>
      <c r="E59" s="171">
        <f t="shared" si="1"/>
        <v>0.13236340859265994</v>
      </c>
    </row>
    <row r="60" spans="1:5" x14ac:dyDescent="0.35">
      <c r="A60" s="168">
        <v>45139</v>
      </c>
      <c r="B60" s="161">
        <v>64831.41</v>
      </c>
      <c r="C60" s="171">
        <f t="shared" si="0"/>
        <v>-2.5497060095445945E-2</v>
      </c>
      <c r="D60" s="161">
        <v>3638.95</v>
      </c>
      <c r="E60" s="171">
        <f t="shared" si="1"/>
        <v>-8.5047269435784001E-2</v>
      </c>
    </row>
    <row r="61" spans="1:5" x14ac:dyDescent="0.35">
      <c r="A61" s="168">
        <v>45170</v>
      </c>
      <c r="B61" s="161">
        <v>65828.41</v>
      </c>
      <c r="C61" s="171">
        <f t="shared" si="0"/>
        <v>1.5378348242001794E-2</v>
      </c>
      <c r="D61" s="161">
        <v>3607.65</v>
      </c>
      <c r="E61" s="171">
        <f t="shared" si="1"/>
        <v>-8.6013822668625783E-3</v>
      </c>
    </row>
    <row r="62" spans="1:5" x14ac:dyDescent="0.35">
      <c r="A62" s="168">
        <v>45200</v>
      </c>
      <c r="B62" s="161">
        <v>63874.93</v>
      </c>
      <c r="C62" s="171">
        <f t="shared" si="0"/>
        <v>-2.9675333188208586E-2</v>
      </c>
      <c r="D62" s="161">
        <v>3723.3</v>
      </c>
      <c r="E62" s="171">
        <f t="shared" si="1"/>
        <v>3.2056879131844962E-2</v>
      </c>
    </row>
    <row r="63" spans="1:5" x14ac:dyDescent="0.35">
      <c r="A63" s="168">
        <v>45231</v>
      </c>
      <c r="B63" s="161">
        <v>66988.44</v>
      </c>
      <c r="C63" s="171">
        <f t="shared" si="0"/>
        <v>4.8743849895412916E-2</v>
      </c>
      <c r="D63" s="161">
        <v>4725.7</v>
      </c>
      <c r="E63" s="171">
        <f t="shared" si="1"/>
        <v>0.26922353825907108</v>
      </c>
    </row>
    <row r="64" spans="1:5" x14ac:dyDescent="0.35">
      <c r="A64" s="168">
        <v>45261</v>
      </c>
      <c r="B64" s="161">
        <v>72240.259999999995</v>
      </c>
      <c r="C64" s="171">
        <f t="shared" si="0"/>
        <v>7.8398899869887906E-2</v>
      </c>
      <c r="D64" s="161">
        <v>5192.6000000000004</v>
      </c>
      <c r="E64" s="171">
        <f t="shared" si="1"/>
        <v>9.8800177751444451E-2</v>
      </c>
    </row>
    <row r="65" spans="1:5" x14ac:dyDescent="0.35">
      <c r="A65" s="168">
        <v>45292</v>
      </c>
      <c r="B65" s="161">
        <v>71752.11</v>
      </c>
      <c r="C65" s="171">
        <f t="shared" si="0"/>
        <v>-6.7573123352545617E-3</v>
      </c>
      <c r="D65" s="161">
        <v>4994.3999999999996</v>
      </c>
      <c r="E65" s="171">
        <f t="shared" si="1"/>
        <v>-3.8169703038940184E-2</v>
      </c>
    </row>
    <row r="66" spans="1:5" x14ac:dyDescent="0.35">
      <c r="A66" s="168">
        <v>45323</v>
      </c>
      <c r="B66" s="161">
        <v>72790.13</v>
      </c>
      <c r="C66" s="171">
        <f t="shared" si="0"/>
        <v>1.4466752266936833E-2</v>
      </c>
      <c r="D66" s="161">
        <v>5060.3</v>
      </c>
      <c r="E66" s="171">
        <f t="shared" si="1"/>
        <v>1.3194778151529807E-2</v>
      </c>
    </row>
  </sheetData>
  <mergeCells count="1">
    <mergeCell ref="F1:L1"/>
  </mergeCells>
  <pageMargins left="0.7" right="0.7" top="0.75" bottom="0.75" header="0.3" footer="0.3"/>
  <ignoredErrors>
    <ignoredError sqref="H6:H7" formulaRange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9C45A4-2025-4A00-8FCD-FFF1D023FDC6}">
  <dimension ref="A1:R225"/>
  <sheetViews>
    <sheetView showGridLines="0" zoomScale="76" workbookViewId="0">
      <pane ySplit="3" topLeftCell="A4" activePane="bottomLeft" state="frozen"/>
      <selection pane="bottomLeft" activeCell="K10" sqref="K10"/>
    </sheetView>
  </sheetViews>
  <sheetFormatPr defaultColWidth="11.6328125" defaultRowHeight="14.5" outlineLevelRow="1" x14ac:dyDescent="0.35"/>
  <cols>
    <col min="1" max="3" width="1.26953125" style="1" customWidth="1"/>
    <col min="4" max="4" width="40.6328125" style="1" customWidth="1"/>
    <col min="5" max="6" width="12.6328125" style="1" customWidth="1"/>
    <col min="7" max="7" width="2.6328125" style="1" customWidth="1"/>
    <col min="8" max="8" width="13.453125" style="1" customWidth="1"/>
    <col min="9" max="9" width="11.6328125" style="1"/>
    <col min="10" max="10" width="15.54296875" style="1" customWidth="1"/>
    <col min="11" max="15" width="11.6328125" style="1"/>
    <col min="16" max="16" width="11.54296875" style="1" customWidth="1"/>
    <col min="17" max="16384" width="11.6328125" style="1"/>
  </cols>
  <sheetData>
    <row r="1" spans="1:17" ht="33" x14ac:dyDescent="0.7">
      <c r="A1" s="31" t="s">
        <v>168</v>
      </c>
      <c r="B1" s="32"/>
      <c r="C1" s="32"/>
      <c r="D1" s="32"/>
      <c r="E1" s="33"/>
      <c r="F1" s="127"/>
      <c r="G1" s="127"/>
      <c r="H1" s="127"/>
      <c r="I1" s="127"/>
      <c r="J1" s="127"/>
      <c r="K1" s="127"/>
      <c r="L1" s="108"/>
      <c r="M1" s="233"/>
      <c r="N1" s="233"/>
      <c r="O1" s="233"/>
      <c r="P1" s="233"/>
      <c r="Q1" s="233"/>
    </row>
    <row r="2" spans="1:17" ht="20.5" x14ac:dyDescent="0.45">
      <c r="A2" s="34" t="s">
        <v>395</v>
      </c>
      <c r="B2" s="32"/>
      <c r="C2" s="32"/>
      <c r="D2" s="32"/>
      <c r="E2" s="33"/>
      <c r="F2" s="33"/>
      <c r="G2" s="33"/>
      <c r="H2" s="35"/>
      <c r="I2" s="35"/>
      <c r="J2" s="35"/>
      <c r="K2" s="35"/>
      <c r="L2" s="55"/>
      <c r="M2" s="56"/>
      <c r="N2" s="56"/>
      <c r="O2" s="56"/>
      <c r="P2" s="56"/>
      <c r="Q2" s="56"/>
    </row>
    <row r="3" spans="1:17" ht="20.5" x14ac:dyDescent="0.45">
      <c r="A3" s="57"/>
      <c r="B3" s="53"/>
      <c r="C3" s="53"/>
      <c r="D3" s="58"/>
      <c r="E3" s="58"/>
      <c r="F3" s="58"/>
      <c r="G3" s="58"/>
      <c r="H3" s="59"/>
      <c r="I3" s="59"/>
      <c r="J3" s="59"/>
      <c r="K3" s="59"/>
      <c r="L3" s="59"/>
      <c r="M3" s="59"/>
      <c r="N3" s="59"/>
      <c r="O3" s="59"/>
      <c r="P3" s="59"/>
      <c r="Q3" s="59"/>
    </row>
    <row r="4" spans="1:17" ht="20.5" x14ac:dyDescent="0.45">
      <c r="A4" s="38" t="s">
        <v>396</v>
      </c>
      <c r="B4" s="38"/>
      <c r="C4" s="38"/>
      <c r="D4" s="38"/>
      <c r="E4" s="38"/>
      <c r="F4" s="38"/>
      <c r="G4" s="38"/>
      <c r="H4" s="38"/>
      <c r="I4" s="38"/>
      <c r="J4" s="38"/>
      <c r="K4" s="38"/>
      <c r="L4" s="57"/>
      <c r="M4" s="57"/>
      <c r="N4" s="57"/>
      <c r="O4" s="57"/>
      <c r="P4" s="57"/>
      <c r="Q4" s="57"/>
    </row>
    <row r="5" spans="1:17" ht="20.5" x14ac:dyDescent="0.45">
      <c r="A5" s="68"/>
      <c r="B5" s="68"/>
      <c r="C5" s="68"/>
      <c r="D5" s="68"/>
      <c r="E5" s="68"/>
      <c r="F5" s="68"/>
      <c r="G5" s="68"/>
      <c r="H5" s="68"/>
      <c r="I5" s="68"/>
      <c r="J5" s="68"/>
      <c r="K5" s="68" t="s">
        <v>399</v>
      </c>
      <c r="L5" s="57"/>
      <c r="M5" s="57"/>
      <c r="N5" s="57"/>
      <c r="O5" s="57"/>
      <c r="P5" s="57"/>
      <c r="Q5" s="57"/>
    </row>
    <row r="6" spans="1:17" ht="20.5" x14ac:dyDescent="0.45">
      <c r="A6" s="68"/>
      <c r="B6" s="213"/>
      <c r="C6" s="213"/>
      <c r="D6" s="69"/>
      <c r="E6" s="69"/>
      <c r="F6" s="69"/>
      <c r="G6" s="69"/>
      <c r="H6" s="214" t="s">
        <v>397</v>
      </c>
      <c r="I6" s="214" t="s">
        <v>398</v>
      </c>
      <c r="J6" s="214" t="s">
        <v>401</v>
      </c>
      <c r="K6" s="214" t="s">
        <v>400</v>
      </c>
      <c r="L6" s="59"/>
      <c r="M6" s="56"/>
      <c r="N6" s="56"/>
      <c r="O6" s="56"/>
      <c r="P6" s="56"/>
      <c r="Q6" s="56"/>
    </row>
    <row r="7" spans="1:17" ht="15.5" x14ac:dyDescent="0.35">
      <c r="A7" s="129"/>
      <c r="B7" s="129"/>
      <c r="C7" s="129"/>
      <c r="D7" s="129" t="s">
        <v>402</v>
      </c>
      <c r="E7" s="129"/>
      <c r="F7" s="129"/>
      <c r="G7" s="198"/>
      <c r="H7" s="129">
        <f>MAX('Comp Valuation'!J25:J27)</f>
        <v>6501.9702197399893</v>
      </c>
      <c r="I7" s="129">
        <v>5987.1571042188634</v>
      </c>
      <c r="J7" s="129">
        <f>Beta!H6</f>
        <v>5192.6000000000004</v>
      </c>
      <c r="K7" s="129">
        <v>5500</v>
      </c>
      <c r="L7" s="129"/>
      <c r="M7" s="56"/>
      <c r="N7" s="56"/>
      <c r="O7" s="56"/>
      <c r="P7" s="56"/>
      <c r="Q7" s="56"/>
    </row>
    <row r="8" spans="1:17" ht="15.5" x14ac:dyDescent="0.35">
      <c r="A8" s="129"/>
      <c r="B8" s="129"/>
      <c r="C8" s="129"/>
      <c r="D8" s="129" t="s">
        <v>402</v>
      </c>
      <c r="E8" s="129"/>
      <c r="F8" s="129"/>
      <c r="G8" s="129"/>
      <c r="H8" s="129">
        <f>H7</f>
        <v>6501.9702197399893</v>
      </c>
      <c r="I8" s="129">
        <f>I7</f>
        <v>5987.1571042188634</v>
      </c>
      <c r="J8" s="129">
        <f>J7</f>
        <v>5192.6000000000004</v>
      </c>
      <c r="K8" s="129">
        <f>K7</f>
        <v>5500</v>
      </c>
      <c r="L8" s="199"/>
      <c r="M8" s="199"/>
      <c r="N8" s="199"/>
      <c r="O8" s="199"/>
      <c r="P8" s="199"/>
      <c r="Q8" s="199"/>
    </row>
    <row r="9" spans="1:17" ht="15.5" x14ac:dyDescent="0.35">
      <c r="A9" s="129"/>
      <c r="B9" s="129"/>
      <c r="C9" s="129"/>
      <c r="D9" s="129" t="s">
        <v>403</v>
      </c>
      <c r="E9" s="129"/>
      <c r="F9" s="129"/>
      <c r="G9" s="129"/>
      <c r="H9" s="129">
        <f>MIN('Comp Valuation'!J25:J27)</f>
        <v>4914.840151657907</v>
      </c>
      <c r="I9" s="129">
        <v>4351.9199391725506</v>
      </c>
      <c r="J9" s="129">
        <f>Beta!H7</f>
        <v>2975.5</v>
      </c>
      <c r="K9" s="129">
        <f>4800</f>
        <v>4800</v>
      </c>
      <c r="L9" s="199"/>
      <c r="M9" s="199"/>
      <c r="N9" s="199"/>
      <c r="O9" s="199"/>
      <c r="P9" s="199"/>
      <c r="Q9" s="199"/>
    </row>
    <row r="10" spans="1:17" ht="15.5" x14ac:dyDescent="0.35">
      <c r="A10" s="129"/>
      <c r="B10" s="129"/>
      <c r="C10" s="129"/>
      <c r="D10" s="129" t="s">
        <v>403</v>
      </c>
      <c r="E10" s="129"/>
      <c r="F10" s="129"/>
      <c r="G10" s="129"/>
      <c r="H10" s="129">
        <f>H9</f>
        <v>4914.840151657907</v>
      </c>
      <c r="I10" s="129">
        <f>I9</f>
        <v>4351.9199391725506</v>
      </c>
      <c r="J10" s="129">
        <f>J9</f>
        <v>2975.5</v>
      </c>
      <c r="K10" s="129">
        <f>K9</f>
        <v>4800</v>
      </c>
      <c r="L10" s="199"/>
      <c r="M10" s="199"/>
      <c r="N10" s="199"/>
      <c r="O10" s="199"/>
      <c r="P10" s="199"/>
      <c r="Q10" s="199"/>
    </row>
    <row r="11" spans="1:17" ht="15.5" x14ac:dyDescent="0.35">
      <c r="A11" s="129"/>
      <c r="B11" s="129"/>
      <c r="C11" s="129"/>
      <c r="D11" s="129"/>
      <c r="E11" s="129"/>
      <c r="F11" s="129"/>
      <c r="G11" s="129"/>
      <c r="H11" s="199"/>
      <c r="I11" s="199"/>
      <c r="J11" s="199"/>
      <c r="K11" s="199"/>
      <c r="L11" s="199"/>
      <c r="M11" s="199"/>
      <c r="N11" s="199"/>
      <c r="O11" s="199"/>
      <c r="P11" s="199"/>
      <c r="Q11" s="199"/>
    </row>
    <row r="12" spans="1:17" ht="20.5" x14ac:dyDescent="0.45">
      <c r="A12" s="38" t="s">
        <v>406</v>
      </c>
      <c r="B12" s="38"/>
      <c r="C12" s="38"/>
      <c r="D12" s="38"/>
      <c r="E12" s="38"/>
      <c r="F12" s="38"/>
      <c r="G12" s="38"/>
      <c r="H12" s="38"/>
      <c r="I12" s="38"/>
      <c r="J12" s="38"/>
      <c r="K12" s="38"/>
      <c r="L12" s="199"/>
      <c r="M12" s="199"/>
      <c r="N12" s="199"/>
      <c r="O12" s="199"/>
      <c r="P12" s="199"/>
      <c r="Q12" s="199"/>
    </row>
    <row r="13" spans="1:17" ht="15.5" x14ac:dyDescent="0.35">
      <c r="A13" s="129"/>
      <c r="B13" s="129"/>
      <c r="C13" s="129"/>
      <c r="D13" s="129"/>
      <c r="E13" s="129"/>
      <c r="F13" s="129"/>
      <c r="G13" s="129"/>
      <c r="H13" s="199"/>
      <c r="I13" s="199"/>
      <c r="J13" s="199"/>
      <c r="K13" s="199"/>
      <c r="L13" s="199"/>
      <c r="M13" s="199"/>
      <c r="N13" s="199"/>
      <c r="O13" s="199"/>
      <c r="P13" s="199"/>
      <c r="Q13" s="199"/>
    </row>
    <row r="14" spans="1:17" ht="15.5" x14ac:dyDescent="0.35">
      <c r="A14" s="129"/>
      <c r="B14" s="129"/>
      <c r="C14" s="129"/>
      <c r="D14" s="129"/>
      <c r="E14" s="129"/>
      <c r="F14" s="129"/>
      <c r="G14" s="129"/>
      <c r="H14" s="199"/>
      <c r="I14" s="199"/>
      <c r="J14" s="199"/>
      <c r="K14" s="199"/>
      <c r="L14" s="199"/>
      <c r="M14" s="199"/>
      <c r="N14" s="199"/>
      <c r="O14" s="199"/>
      <c r="P14" s="199"/>
      <c r="Q14" s="199"/>
    </row>
    <row r="15" spans="1:17" ht="15.5" x14ac:dyDescent="0.35">
      <c r="A15" s="129"/>
      <c r="B15" s="129"/>
      <c r="C15" s="129"/>
      <c r="D15" s="129"/>
      <c r="E15" s="129"/>
      <c r="F15" s="129"/>
      <c r="G15" s="129"/>
      <c r="H15" s="199"/>
      <c r="I15" s="199"/>
      <c r="J15" s="199"/>
      <c r="K15" s="199"/>
      <c r="L15" s="199"/>
      <c r="M15" s="199"/>
      <c r="N15" s="199"/>
      <c r="O15" s="199"/>
      <c r="P15" s="199"/>
      <c r="Q15" s="199"/>
    </row>
    <row r="16" spans="1:17" ht="15.5" x14ac:dyDescent="0.35">
      <c r="A16" s="129"/>
      <c r="B16" s="129"/>
      <c r="C16" s="129"/>
      <c r="D16" s="129"/>
      <c r="E16" s="129"/>
      <c r="F16" s="129"/>
      <c r="G16" s="129"/>
      <c r="H16" s="199"/>
      <c r="I16" s="199"/>
      <c r="J16" s="199"/>
      <c r="K16" s="199"/>
      <c r="L16" s="199"/>
      <c r="M16" s="199"/>
      <c r="N16" s="199"/>
      <c r="O16" s="199"/>
      <c r="P16" s="199"/>
      <c r="Q16" s="199"/>
    </row>
    <row r="17" spans="1:17" ht="15.5" x14ac:dyDescent="0.35">
      <c r="A17" s="129"/>
      <c r="B17" s="129"/>
      <c r="C17" s="129"/>
      <c r="D17" s="129"/>
      <c r="E17" s="129"/>
      <c r="F17" s="129"/>
      <c r="G17" s="129"/>
      <c r="H17" s="129"/>
      <c r="I17" s="129"/>
      <c r="J17" s="129"/>
      <c r="K17" s="129"/>
      <c r="L17" s="129"/>
      <c r="M17" s="129"/>
      <c r="N17" s="129"/>
      <c r="O17" s="129"/>
      <c r="P17" s="129"/>
      <c r="Q17" s="129"/>
    </row>
    <row r="18" spans="1:17" ht="15.5" x14ac:dyDescent="0.35">
      <c r="A18" s="129"/>
      <c r="B18" s="129"/>
      <c r="C18" s="129"/>
      <c r="D18" s="129"/>
      <c r="E18" s="129"/>
      <c r="F18" s="129"/>
      <c r="G18" s="129"/>
      <c r="H18" s="129"/>
      <c r="I18" s="129"/>
      <c r="J18" s="129"/>
      <c r="K18" s="129"/>
      <c r="L18" s="129"/>
      <c r="M18" s="129"/>
      <c r="N18" s="129"/>
      <c r="O18" s="129"/>
      <c r="P18" s="129"/>
      <c r="Q18" s="129"/>
    </row>
    <row r="19" spans="1:17" ht="15.5" x14ac:dyDescent="0.35">
      <c r="A19" s="129"/>
      <c r="B19" s="129"/>
      <c r="C19" s="129"/>
      <c r="D19" s="129"/>
      <c r="E19" s="129"/>
      <c r="F19" s="129"/>
      <c r="G19" s="129"/>
      <c r="H19" s="129"/>
      <c r="I19" s="129"/>
      <c r="J19" s="129"/>
      <c r="K19" s="129"/>
      <c r="L19" s="129"/>
      <c r="M19" s="129"/>
      <c r="N19" s="129"/>
      <c r="O19" s="129"/>
      <c r="P19" s="129"/>
      <c r="Q19" s="129"/>
    </row>
    <row r="20" spans="1:17" ht="15.5" x14ac:dyDescent="0.35">
      <c r="A20" s="129"/>
      <c r="B20" s="129"/>
      <c r="C20" s="129"/>
      <c r="D20" s="129"/>
      <c r="E20" s="129"/>
      <c r="F20" s="129"/>
      <c r="G20" s="129"/>
      <c r="H20" s="120"/>
      <c r="I20" s="120"/>
      <c r="J20" s="120"/>
      <c r="K20" s="120"/>
      <c r="L20" s="120"/>
      <c r="M20" s="120"/>
      <c r="N20" s="120"/>
      <c r="O20" s="120"/>
      <c r="P20" s="120"/>
      <c r="Q20" s="120"/>
    </row>
    <row r="21" spans="1:17" ht="15.5" x14ac:dyDescent="0.35">
      <c r="A21" s="129"/>
      <c r="B21" s="129"/>
      <c r="C21" s="129"/>
      <c r="D21" s="129"/>
      <c r="E21" s="129"/>
      <c r="F21" s="129"/>
      <c r="G21" s="129"/>
      <c r="H21" s="120"/>
      <c r="I21" s="120"/>
      <c r="J21" s="120"/>
      <c r="K21" s="120"/>
      <c r="L21" s="120"/>
      <c r="M21" s="56"/>
      <c r="N21" s="56"/>
      <c r="O21" s="56"/>
      <c r="P21" s="56"/>
      <c r="Q21" s="56"/>
    </row>
    <row r="22" spans="1:17" x14ac:dyDescent="0.35">
      <c r="A22" s="215"/>
      <c r="B22" s="215"/>
      <c r="C22" s="215"/>
      <c r="D22" s="215"/>
      <c r="E22" s="215"/>
      <c r="F22" s="215"/>
      <c r="G22" s="215"/>
      <c r="H22" s="215"/>
      <c r="I22" s="215"/>
      <c r="J22" s="215"/>
      <c r="K22" s="215"/>
      <c r="L22" s="54"/>
      <c r="M22" s="54"/>
      <c r="N22" s="54"/>
      <c r="O22" s="54"/>
      <c r="P22" s="54"/>
      <c r="Q22" s="54"/>
    </row>
    <row r="23" spans="1:17" ht="20.5" x14ac:dyDescent="0.45">
      <c r="A23" s="68"/>
      <c r="B23" s="68"/>
      <c r="C23" s="68"/>
      <c r="D23" s="68"/>
      <c r="E23" s="68"/>
      <c r="F23" s="68"/>
      <c r="G23" s="68"/>
      <c r="H23" s="68"/>
      <c r="I23" s="68"/>
      <c r="J23" s="68"/>
      <c r="K23" s="68"/>
      <c r="L23" s="57"/>
      <c r="M23" s="57"/>
      <c r="N23" s="57"/>
      <c r="O23" s="57"/>
      <c r="P23" s="57"/>
      <c r="Q23" s="57"/>
    </row>
    <row r="24" spans="1:17" s="39" customFormat="1" ht="18.5" outlineLevel="1" x14ac:dyDescent="0.45">
      <c r="A24" s="216"/>
      <c r="B24" s="69"/>
      <c r="C24" s="216"/>
      <c r="D24" s="216"/>
      <c r="E24" s="216"/>
      <c r="F24" s="216"/>
      <c r="G24" s="216"/>
      <c r="H24" s="216"/>
      <c r="I24" s="216"/>
      <c r="J24" s="216"/>
      <c r="K24" s="216"/>
      <c r="L24" s="130"/>
      <c r="M24" s="134"/>
      <c r="N24" s="134"/>
      <c r="O24" s="134"/>
      <c r="P24" s="134"/>
      <c r="Q24" s="134"/>
    </row>
    <row r="25" spans="1:17" s="39" customFormat="1" ht="18.5" outlineLevel="1" x14ac:dyDescent="0.45">
      <c r="A25" s="216"/>
      <c r="B25" s="216"/>
      <c r="C25" s="216"/>
      <c r="D25" s="216"/>
      <c r="E25" s="216"/>
      <c r="F25" s="217"/>
      <c r="G25" s="216"/>
      <c r="H25" s="129"/>
      <c r="I25" s="129"/>
      <c r="J25" s="129"/>
      <c r="K25" s="129"/>
      <c r="L25" s="132"/>
      <c r="M25" s="129"/>
      <c r="N25" s="129"/>
      <c r="O25" s="129"/>
      <c r="P25" s="129"/>
      <c r="Q25" s="129"/>
    </row>
    <row r="26" spans="1:17" s="39" customFormat="1" ht="18.5" outlineLevel="1" x14ac:dyDescent="0.45">
      <c r="A26" s="216"/>
      <c r="B26" s="216"/>
      <c r="C26" s="216"/>
      <c r="D26" s="216"/>
      <c r="E26" s="216"/>
      <c r="F26" s="217"/>
      <c r="G26" s="216"/>
      <c r="H26" s="129"/>
      <c r="I26" s="129"/>
      <c r="J26" s="129"/>
      <c r="K26" s="129"/>
      <c r="L26" s="132"/>
      <c r="M26" s="129"/>
      <c r="N26" s="129"/>
      <c r="O26" s="129"/>
      <c r="P26" s="129"/>
      <c r="Q26" s="129"/>
    </row>
    <row r="27" spans="1:17" s="39" customFormat="1" ht="18.5" outlineLevel="1" x14ac:dyDescent="0.45">
      <c r="A27" s="216"/>
      <c r="B27" s="216"/>
      <c r="C27" s="216"/>
      <c r="D27" s="69"/>
      <c r="E27" s="69"/>
      <c r="F27" s="140"/>
      <c r="G27" s="69"/>
      <c r="H27" s="123"/>
      <c r="I27" s="123"/>
      <c r="J27" s="123"/>
      <c r="K27" s="123"/>
      <c r="L27" s="137"/>
      <c r="M27" s="137"/>
      <c r="N27" s="137"/>
      <c r="O27" s="137"/>
      <c r="P27" s="137"/>
      <c r="Q27" s="137"/>
    </row>
    <row r="28" spans="1:17" s="39" customFormat="1" ht="18.5" outlineLevel="1" x14ac:dyDescent="0.45">
      <c r="A28" s="216"/>
      <c r="B28" s="69"/>
      <c r="C28" s="216"/>
      <c r="D28" s="216"/>
      <c r="E28" s="216"/>
      <c r="F28" s="217"/>
      <c r="G28" s="216"/>
      <c r="H28" s="129"/>
      <c r="I28" s="129"/>
      <c r="J28" s="129"/>
      <c r="K28" s="129"/>
      <c r="L28" s="132"/>
      <c r="M28" s="133"/>
      <c r="N28" s="133"/>
      <c r="O28" s="133"/>
      <c r="P28" s="133"/>
      <c r="Q28" s="133"/>
    </row>
    <row r="29" spans="1:17" s="39" customFormat="1" ht="18.5" outlineLevel="1" x14ac:dyDescent="0.45">
      <c r="A29" s="216"/>
      <c r="B29" s="216"/>
      <c r="C29" s="216"/>
      <c r="D29" s="216"/>
      <c r="E29" s="216"/>
      <c r="F29" s="217"/>
      <c r="G29" s="216"/>
      <c r="H29" s="129"/>
      <c r="I29" s="129"/>
      <c r="J29" s="129"/>
      <c r="K29" s="129"/>
      <c r="L29" s="132"/>
      <c r="M29" s="129"/>
      <c r="N29" s="129"/>
      <c r="O29" s="129"/>
      <c r="P29" s="129"/>
      <c r="Q29" s="129"/>
    </row>
    <row r="30" spans="1:17" s="39" customFormat="1" ht="18.5" outlineLevel="1" x14ac:dyDescent="0.45">
      <c r="A30" s="216"/>
      <c r="B30" s="216"/>
      <c r="C30" s="216"/>
      <c r="D30" s="216"/>
      <c r="E30" s="216"/>
      <c r="F30" s="217"/>
      <c r="G30" s="216"/>
      <c r="H30" s="129"/>
      <c r="I30" s="129"/>
      <c r="J30" s="129"/>
      <c r="K30" s="129"/>
      <c r="L30" s="132"/>
      <c r="M30" s="129"/>
      <c r="N30" s="129"/>
      <c r="O30" s="129"/>
      <c r="P30" s="129"/>
      <c r="Q30" s="129"/>
    </row>
    <row r="31" spans="1:17" s="39" customFormat="1" ht="18.5" outlineLevel="1" x14ac:dyDescent="0.45">
      <c r="A31" s="216"/>
      <c r="B31" s="216"/>
      <c r="C31" s="216"/>
      <c r="D31" s="69"/>
      <c r="E31" s="69"/>
      <c r="F31" s="140"/>
      <c r="G31" s="69"/>
      <c r="H31" s="123"/>
      <c r="I31" s="123"/>
      <c r="J31" s="123"/>
      <c r="K31" s="123"/>
      <c r="L31" s="137"/>
      <c r="M31" s="137"/>
      <c r="N31" s="137"/>
      <c r="O31" s="137"/>
      <c r="P31" s="137"/>
      <c r="Q31" s="137"/>
    </row>
    <row r="32" spans="1:17" s="39" customFormat="1" ht="18.5" outlineLevel="1" x14ac:dyDescent="0.45">
      <c r="A32" s="216"/>
      <c r="B32" s="216"/>
      <c r="C32" s="216"/>
      <c r="D32" s="216"/>
      <c r="E32" s="216"/>
      <c r="F32" s="217"/>
      <c r="G32" s="216"/>
      <c r="H32" s="129"/>
      <c r="I32" s="129"/>
      <c r="J32" s="129"/>
      <c r="K32" s="129"/>
      <c r="L32" s="132"/>
      <c r="M32" s="129"/>
      <c r="N32" s="129"/>
      <c r="O32" s="129"/>
      <c r="P32" s="129"/>
      <c r="Q32" s="129"/>
    </row>
    <row r="33" spans="1:17" s="39" customFormat="1" ht="18.5" outlineLevel="1" x14ac:dyDescent="0.45">
      <c r="A33" s="216"/>
      <c r="B33" s="216"/>
      <c r="C33" s="216"/>
      <c r="D33" s="69"/>
      <c r="E33" s="69"/>
      <c r="F33" s="140"/>
      <c r="G33" s="69"/>
      <c r="H33" s="123"/>
      <c r="I33" s="123"/>
      <c r="J33" s="123"/>
      <c r="K33" s="123"/>
      <c r="L33" s="137"/>
      <c r="M33" s="137"/>
      <c r="N33" s="137"/>
      <c r="O33" s="137"/>
      <c r="P33" s="137"/>
      <c r="Q33" s="137"/>
    </row>
    <row r="34" spans="1:17" s="39" customFormat="1" ht="18.5" outlineLevel="1" x14ac:dyDescent="0.45">
      <c r="A34" s="216"/>
      <c r="B34" s="216"/>
      <c r="C34" s="216"/>
      <c r="D34" s="216"/>
      <c r="E34" s="216"/>
      <c r="F34" s="217"/>
      <c r="G34" s="216"/>
      <c r="H34" s="129"/>
      <c r="I34" s="129"/>
      <c r="J34" s="129"/>
      <c r="K34" s="129"/>
      <c r="L34" s="132"/>
      <c r="M34" s="129"/>
      <c r="N34" s="129"/>
      <c r="O34" s="129"/>
      <c r="P34" s="129"/>
      <c r="Q34" s="129"/>
    </row>
    <row r="35" spans="1:17" s="39" customFormat="1" ht="18.5" outlineLevel="1" x14ac:dyDescent="0.45">
      <c r="A35" s="216"/>
      <c r="B35" s="216"/>
      <c r="C35" s="216"/>
      <c r="D35" s="216"/>
      <c r="E35" s="216"/>
      <c r="F35" s="217"/>
      <c r="G35" s="216"/>
      <c r="H35" s="129"/>
      <c r="I35" s="129"/>
      <c r="J35" s="129"/>
      <c r="K35" s="129"/>
      <c r="L35" s="132"/>
      <c r="M35" s="129"/>
      <c r="N35" s="129"/>
      <c r="O35" s="129"/>
      <c r="P35" s="129"/>
      <c r="Q35" s="129"/>
    </row>
    <row r="36" spans="1:17" s="39" customFormat="1" ht="18.5" outlineLevel="1" x14ac:dyDescent="0.45">
      <c r="A36" s="216"/>
      <c r="B36" s="216"/>
      <c r="C36" s="216"/>
      <c r="D36" s="69"/>
      <c r="E36" s="69"/>
      <c r="F36" s="140"/>
      <c r="G36" s="69"/>
      <c r="H36" s="123"/>
      <c r="I36" s="123"/>
      <c r="J36" s="123"/>
      <c r="K36" s="123"/>
      <c r="L36" s="137"/>
      <c r="M36" s="137"/>
      <c r="N36" s="137"/>
      <c r="O36" s="137"/>
      <c r="P36" s="137"/>
      <c r="Q36" s="137"/>
    </row>
    <row r="37" spans="1:17" s="39" customFormat="1" ht="18.5" outlineLevel="1" x14ac:dyDescent="0.45">
      <c r="A37" s="216"/>
      <c r="B37" s="216"/>
      <c r="C37" s="216"/>
      <c r="D37" s="216"/>
      <c r="E37" s="216"/>
      <c r="F37" s="217"/>
      <c r="G37" s="216"/>
      <c r="H37" s="129"/>
      <c r="I37" s="129"/>
      <c r="J37" s="129"/>
      <c r="K37" s="129"/>
      <c r="L37" s="132"/>
      <c r="M37" s="129"/>
      <c r="N37" s="129"/>
      <c r="O37" s="129"/>
      <c r="P37" s="129"/>
      <c r="Q37" s="129"/>
    </row>
    <row r="38" spans="1:17" s="39" customFormat="1" ht="18.5" outlineLevel="1" x14ac:dyDescent="0.45">
      <c r="A38" s="216"/>
      <c r="B38" s="216"/>
      <c r="C38" s="216"/>
      <c r="D38" s="69"/>
      <c r="E38" s="69"/>
      <c r="F38" s="140"/>
      <c r="G38" s="69"/>
      <c r="H38" s="123"/>
      <c r="I38" s="123"/>
      <c r="J38" s="123"/>
      <c r="K38" s="123"/>
      <c r="L38" s="137"/>
      <c r="M38" s="137"/>
      <c r="N38" s="137"/>
      <c r="O38" s="137"/>
      <c r="P38" s="137"/>
      <c r="Q38" s="137"/>
    </row>
    <row r="39" spans="1:17" s="39" customFormat="1" ht="18.5" outlineLevel="1" x14ac:dyDescent="0.45">
      <c r="A39" s="218"/>
      <c r="B39" s="218"/>
      <c r="C39" s="218"/>
      <c r="D39" s="218"/>
      <c r="E39" s="218"/>
      <c r="F39" s="218"/>
      <c r="G39" s="218"/>
      <c r="H39" s="219"/>
      <c r="I39" s="219"/>
      <c r="J39" s="219"/>
      <c r="K39" s="219"/>
      <c r="L39" s="138"/>
      <c r="M39" s="133"/>
      <c r="N39" s="133"/>
      <c r="O39" s="133"/>
      <c r="P39" s="133"/>
      <c r="Q39" s="133"/>
    </row>
    <row r="40" spans="1:17" s="39" customFormat="1" ht="18.5" x14ac:dyDescent="0.45">
      <c r="A40" s="218"/>
      <c r="B40" s="218"/>
      <c r="C40" s="218"/>
      <c r="D40" s="218"/>
      <c r="E40" s="218"/>
      <c r="F40" s="218"/>
      <c r="G40" s="218"/>
      <c r="H40" s="219"/>
      <c r="I40" s="219"/>
      <c r="J40" s="219"/>
      <c r="K40" s="219"/>
      <c r="L40" s="138"/>
      <c r="M40" s="133"/>
      <c r="N40" s="133"/>
      <c r="O40" s="133"/>
      <c r="P40" s="133"/>
      <c r="Q40" s="133"/>
    </row>
    <row r="41" spans="1:17" s="39" customFormat="1" ht="20.5" x14ac:dyDescent="0.45">
      <c r="A41" s="68"/>
      <c r="B41" s="68"/>
      <c r="C41" s="68"/>
      <c r="D41" s="68"/>
      <c r="E41" s="68"/>
      <c r="F41" s="68"/>
      <c r="G41" s="68"/>
      <c r="H41" s="68"/>
      <c r="I41" s="68"/>
      <c r="J41" s="68"/>
      <c r="K41" s="68"/>
      <c r="L41" s="57"/>
      <c r="M41" s="57"/>
      <c r="N41" s="57"/>
      <c r="O41" s="57"/>
      <c r="P41" s="57"/>
      <c r="Q41" s="57"/>
    </row>
    <row r="42" spans="1:17" s="39" customFormat="1" ht="18.5" x14ac:dyDescent="0.45">
      <c r="A42" s="218"/>
      <c r="B42" s="218"/>
      <c r="C42" s="218"/>
      <c r="D42" s="218"/>
      <c r="E42" s="218"/>
      <c r="F42" s="218"/>
      <c r="G42" s="218"/>
      <c r="H42" s="219"/>
      <c r="I42" s="219"/>
      <c r="J42" s="219"/>
      <c r="K42" s="219"/>
      <c r="L42" s="138"/>
      <c r="M42" s="133"/>
      <c r="N42" s="133"/>
      <c r="O42" s="133"/>
      <c r="P42" s="133"/>
      <c r="Q42" s="133"/>
    </row>
    <row r="43" spans="1:17" s="39" customFormat="1" ht="18.5" outlineLevel="1" x14ac:dyDescent="0.45">
      <c r="A43" s="216"/>
      <c r="B43" s="69"/>
      <c r="C43" s="216"/>
      <c r="D43" s="216"/>
      <c r="E43" s="216"/>
      <c r="F43" s="217"/>
      <c r="G43" s="216"/>
      <c r="H43" s="129"/>
      <c r="I43" s="129"/>
      <c r="J43" s="129"/>
      <c r="K43" s="129"/>
      <c r="L43" s="132"/>
      <c r="M43" s="133"/>
      <c r="N43" s="133"/>
      <c r="O43" s="133"/>
      <c r="P43" s="133"/>
      <c r="Q43" s="133"/>
    </row>
    <row r="44" spans="1:17" s="39" customFormat="1" ht="18.5" outlineLevel="1" x14ac:dyDescent="0.45">
      <c r="A44" s="216"/>
      <c r="B44" s="216"/>
      <c r="C44" s="69"/>
      <c r="D44" s="216"/>
      <c r="E44" s="216"/>
      <c r="F44" s="216"/>
      <c r="G44" s="216"/>
      <c r="H44" s="129"/>
      <c r="I44" s="129"/>
      <c r="J44" s="129"/>
      <c r="K44" s="129"/>
      <c r="L44" s="132"/>
      <c r="M44" s="133"/>
      <c r="N44" s="133"/>
      <c r="O44" s="133"/>
      <c r="P44" s="133"/>
      <c r="Q44" s="133"/>
    </row>
    <row r="45" spans="1:17" s="39" customFormat="1" ht="18.5" outlineLevel="1" x14ac:dyDescent="0.45">
      <c r="A45" s="216"/>
      <c r="B45" s="216"/>
      <c r="C45" s="216"/>
      <c r="D45" s="216"/>
      <c r="E45" s="216"/>
      <c r="F45" s="217"/>
      <c r="G45" s="216"/>
      <c r="H45" s="129"/>
      <c r="I45" s="129"/>
      <c r="J45" s="129"/>
      <c r="K45" s="129"/>
      <c r="L45" s="132"/>
      <c r="M45" s="129"/>
      <c r="N45" s="129"/>
      <c r="O45" s="129"/>
      <c r="P45" s="129"/>
      <c r="Q45" s="129"/>
    </row>
    <row r="46" spans="1:17" s="39" customFormat="1" ht="18.5" outlineLevel="1" x14ac:dyDescent="0.45">
      <c r="A46" s="216"/>
      <c r="B46" s="216"/>
      <c r="C46" s="216"/>
      <c r="D46" s="216"/>
      <c r="E46" s="216"/>
      <c r="F46" s="217"/>
      <c r="G46" s="216"/>
      <c r="H46" s="129"/>
      <c r="I46" s="129"/>
      <c r="J46" s="129"/>
      <c r="K46" s="129"/>
      <c r="L46" s="132"/>
      <c r="M46" s="129"/>
      <c r="N46" s="129"/>
      <c r="O46" s="129"/>
      <c r="P46" s="129"/>
      <c r="Q46" s="129"/>
    </row>
    <row r="47" spans="1:17" s="39" customFormat="1" ht="18.5" outlineLevel="1" x14ac:dyDescent="0.45">
      <c r="A47" s="216"/>
      <c r="B47" s="216"/>
      <c r="C47" s="216"/>
      <c r="D47" s="216"/>
      <c r="E47" s="216"/>
      <c r="F47" s="217"/>
      <c r="G47" s="216"/>
      <c r="H47" s="129"/>
      <c r="I47" s="129"/>
      <c r="J47" s="129"/>
      <c r="K47" s="129"/>
      <c r="L47" s="132"/>
      <c r="M47" s="129"/>
      <c r="N47" s="129"/>
      <c r="O47" s="129"/>
      <c r="P47" s="129"/>
      <c r="Q47" s="129"/>
    </row>
    <row r="48" spans="1:17" s="39" customFormat="1" ht="18.5" outlineLevel="1" x14ac:dyDescent="0.45">
      <c r="A48" s="216"/>
      <c r="B48" s="216"/>
      <c r="C48" s="216"/>
      <c r="D48" s="216"/>
      <c r="E48" s="216"/>
      <c r="F48" s="217"/>
      <c r="G48" s="216"/>
      <c r="H48" s="129"/>
      <c r="I48" s="129"/>
      <c r="J48" s="129"/>
      <c r="K48" s="129"/>
      <c r="L48" s="132"/>
      <c r="M48" s="129"/>
      <c r="N48" s="129"/>
      <c r="O48" s="129"/>
      <c r="P48" s="129"/>
      <c r="Q48" s="129"/>
    </row>
    <row r="49" spans="1:17" s="39" customFormat="1" ht="18.5" outlineLevel="1" x14ac:dyDescent="0.45">
      <c r="A49" s="216"/>
      <c r="B49" s="216"/>
      <c r="C49" s="216"/>
      <c r="D49" s="216"/>
      <c r="E49" s="216"/>
      <c r="F49" s="217"/>
      <c r="G49" s="216"/>
      <c r="H49" s="129"/>
      <c r="I49" s="129"/>
      <c r="J49" s="129"/>
      <c r="K49" s="129"/>
      <c r="L49" s="132"/>
      <c r="M49" s="129"/>
      <c r="N49" s="129"/>
      <c r="O49" s="129"/>
      <c r="P49" s="129"/>
      <c r="Q49" s="129"/>
    </row>
    <row r="50" spans="1:17" s="39" customFormat="1" ht="18.5" outlineLevel="1" x14ac:dyDescent="0.45">
      <c r="A50" s="216"/>
      <c r="B50" s="216"/>
      <c r="C50" s="216"/>
      <c r="D50" s="216"/>
      <c r="E50" s="216"/>
      <c r="F50" s="217"/>
      <c r="G50" s="216"/>
      <c r="H50" s="129"/>
      <c r="I50" s="129"/>
      <c r="J50" s="129"/>
      <c r="K50" s="129"/>
      <c r="L50" s="132"/>
      <c r="M50" s="129"/>
      <c r="N50" s="129"/>
      <c r="O50" s="129"/>
      <c r="P50" s="129"/>
      <c r="Q50" s="129"/>
    </row>
    <row r="51" spans="1:17" s="39" customFormat="1" ht="18.5" outlineLevel="1" x14ac:dyDescent="0.45">
      <c r="A51" s="216"/>
      <c r="B51" s="216"/>
      <c r="C51" s="69"/>
      <c r="D51" s="216"/>
      <c r="E51" s="216"/>
      <c r="F51" s="217"/>
      <c r="G51" s="216"/>
      <c r="H51" s="129"/>
      <c r="I51" s="129"/>
      <c r="J51" s="129"/>
      <c r="K51" s="129"/>
      <c r="L51" s="132"/>
      <c r="M51" s="129"/>
      <c r="N51" s="129"/>
      <c r="O51" s="129"/>
      <c r="P51" s="129"/>
      <c r="Q51" s="129"/>
    </row>
    <row r="52" spans="1:17" s="39" customFormat="1" ht="18.5" outlineLevel="1" x14ac:dyDescent="0.45">
      <c r="A52" s="216"/>
      <c r="B52" s="216"/>
      <c r="C52" s="216"/>
      <c r="D52" s="216"/>
      <c r="E52" s="216"/>
      <c r="F52" s="217"/>
      <c r="G52" s="216"/>
      <c r="H52" s="129"/>
      <c r="I52" s="129"/>
      <c r="J52" s="129"/>
      <c r="K52" s="129"/>
      <c r="L52" s="132"/>
      <c r="M52" s="129"/>
      <c r="N52" s="129"/>
      <c r="O52" s="129"/>
      <c r="P52" s="129"/>
      <c r="Q52" s="129"/>
    </row>
    <row r="53" spans="1:17" s="39" customFormat="1" ht="18.5" outlineLevel="1" x14ac:dyDescent="0.45">
      <c r="A53" s="216"/>
      <c r="B53" s="216"/>
      <c r="C53" s="216"/>
      <c r="D53" s="216"/>
      <c r="E53" s="216"/>
      <c r="F53" s="217"/>
      <c r="G53" s="216"/>
      <c r="H53" s="129"/>
      <c r="I53" s="129"/>
      <c r="J53" s="129"/>
      <c r="K53" s="129"/>
      <c r="L53" s="132"/>
      <c r="M53" s="129"/>
      <c r="N53" s="129"/>
      <c r="O53" s="129"/>
      <c r="P53" s="129"/>
      <c r="Q53" s="129"/>
    </row>
    <row r="54" spans="1:17" s="39" customFormat="1" ht="18.5" outlineLevel="1" x14ac:dyDescent="0.45">
      <c r="A54" s="216"/>
      <c r="B54" s="216"/>
      <c r="C54" s="216"/>
      <c r="D54" s="216"/>
      <c r="E54" s="216"/>
      <c r="F54" s="217"/>
      <c r="G54" s="216"/>
      <c r="H54" s="129"/>
      <c r="I54" s="129"/>
      <c r="J54" s="129"/>
      <c r="K54" s="129"/>
      <c r="L54" s="132"/>
      <c r="M54" s="129"/>
      <c r="N54" s="129"/>
      <c r="O54" s="129"/>
      <c r="P54" s="129"/>
      <c r="Q54" s="129"/>
    </row>
    <row r="55" spans="1:17" s="39" customFormat="1" ht="18.5" outlineLevel="1" x14ac:dyDescent="0.45">
      <c r="A55" s="216"/>
      <c r="B55" s="216"/>
      <c r="C55" s="216"/>
      <c r="D55" s="216"/>
      <c r="E55" s="216"/>
      <c r="F55" s="217"/>
      <c r="G55" s="216"/>
      <c r="H55" s="129"/>
      <c r="I55" s="129"/>
      <c r="J55" s="129"/>
      <c r="K55" s="129"/>
      <c r="L55" s="132"/>
      <c r="M55" s="129"/>
      <c r="N55" s="129"/>
      <c r="O55" s="129"/>
      <c r="P55" s="129"/>
      <c r="Q55" s="129"/>
    </row>
    <row r="56" spans="1:17" s="39" customFormat="1" ht="18.5" outlineLevel="1" x14ac:dyDescent="0.45">
      <c r="A56" s="216"/>
      <c r="B56" s="216"/>
      <c r="C56" s="216"/>
      <c r="D56" s="69"/>
      <c r="E56" s="69"/>
      <c r="F56" s="140"/>
      <c r="G56" s="69"/>
      <c r="H56" s="123"/>
      <c r="I56" s="123"/>
      <c r="J56" s="123"/>
      <c r="K56" s="123"/>
      <c r="L56" s="137"/>
      <c r="M56" s="137"/>
      <c r="N56" s="137"/>
      <c r="O56" s="137"/>
      <c r="P56" s="137"/>
      <c r="Q56" s="137"/>
    </row>
    <row r="57" spans="1:17" s="39" customFormat="1" ht="18.5" outlineLevel="1" x14ac:dyDescent="0.45">
      <c r="A57" s="216"/>
      <c r="B57" s="216"/>
      <c r="C57" s="216"/>
      <c r="D57" s="216"/>
      <c r="E57" s="216"/>
      <c r="F57" s="218"/>
      <c r="G57" s="216"/>
      <c r="H57" s="129"/>
      <c r="I57" s="129"/>
      <c r="J57" s="129"/>
      <c r="K57" s="129"/>
      <c r="L57" s="139"/>
      <c r="M57" s="129"/>
      <c r="N57" s="129"/>
      <c r="O57" s="129"/>
      <c r="P57" s="129"/>
      <c r="Q57" s="129"/>
    </row>
    <row r="58" spans="1:17" s="39" customFormat="1" ht="18.5" outlineLevel="1" x14ac:dyDescent="0.45">
      <c r="A58" s="216"/>
      <c r="B58" s="69"/>
      <c r="C58" s="216"/>
      <c r="D58" s="216"/>
      <c r="E58" s="216"/>
      <c r="F58" s="216"/>
      <c r="G58" s="216"/>
      <c r="H58" s="129"/>
      <c r="I58" s="129"/>
      <c r="J58" s="129"/>
      <c r="K58" s="129"/>
      <c r="L58" s="139"/>
      <c r="M58" s="129"/>
      <c r="N58" s="129"/>
      <c r="O58" s="129"/>
      <c r="P58" s="129"/>
      <c r="Q58" s="129"/>
    </row>
    <row r="59" spans="1:17" s="39" customFormat="1" ht="18.5" outlineLevel="1" x14ac:dyDescent="0.45">
      <c r="A59" s="216"/>
      <c r="B59" s="216"/>
      <c r="C59" s="69"/>
      <c r="D59" s="216"/>
      <c r="E59" s="216"/>
      <c r="F59" s="216"/>
      <c r="G59" s="216"/>
      <c r="H59" s="129"/>
      <c r="I59" s="129"/>
      <c r="J59" s="129"/>
      <c r="K59" s="129"/>
      <c r="L59" s="139"/>
      <c r="M59" s="129"/>
      <c r="N59" s="129"/>
      <c r="O59" s="129"/>
      <c r="P59" s="129"/>
      <c r="Q59" s="129"/>
    </row>
    <row r="60" spans="1:17" s="39" customFormat="1" ht="18.5" outlineLevel="1" x14ac:dyDescent="0.45">
      <c r="A60" s="216"/>
      <c r="B60" s="216"/>
      <c r="C60" s="216"/>
      <c r="D60" s="216"/>
      <c r="E60" s="216"/>
      <c r="F60" s="217"/>
      <c r="G60" s="216"/>
      <c r="H60" s="129"/>
      <c r="I60" s="129"/>
      <c r="J60" s="129"/>
      <c r="K60" s="129"/>
      <c r="L60" s="132"/>
      <c r="M60" s="129"/>
      <c r="N60" s="129"/>
      <c r="O60" s="129"/>
      <c r="P60" s="129"/>
      <c r="Q60" s="129"/>
    </row>
    <row r="61" spans="1:17" s="39" customFormat="1" ht="18.5" outlineLevel="1" x14ac:dyDescent="0.45">
      <c r="A61" s="216"/>
      <c r="B61" s="216"/>
      <c r="C61" s="216"/>
      <c r="D61" s="216"/>
      <c r="E61" s="216"/>
      <c r="F61" s="217"/>
      <c r="G61" s="216"/>
      <c r="H61" s="129"/>
      <c r="I61" s="129"/>
      <c r="J61" s="129"/>
      <c r="K61" s="129"/>
      <c r="L61" s="132"/>
      <c r="M61" s="129"/>
      <c r="N61" s="129"/>
      <c r="O61" s="129"/>
      <c r="P61" s="129"/>
      <c r="Q61" s="129"/>
    </row>
    <row r="62" spans="1:17" s="39" customFormat="1" ht="18.5" outlineLevel="1" x14ac:dyDescent="0.45">
      <c r="A62" s="216"/>
      <c r="B62" s="216"/>
      <c r="C62" s="216"/>
      <c r="D62" s="216"/>
      <c r="E62" s="216"/>
      <c r="F62" s="217"/>
      <c r="G62" s="216"/>
      <c r="H62" s="129"/>
      <c r="I62" s="129"/>
      <c r="J62" s="129"/>
      <c r="K62" s="129"/>
      <c r="L62" s="132"/>
      <c r="M62" s="129"/>
      <c r="N62" s="129"/>
      <c r="O62" s="129"/>
      <c r="P62" s="129"/>
      <c r="Q62" s="129"/>
    </row>
    <row r="63" spans="1:17" s="39" customFormat="1" ht="18.5" outlineLevel="1" x14ac:dyDescent="0.45">
      <c r="A63" s="216"/>
      <c r="B63" s="216"/>
      <c r="C63" s="216"/>
      <c r="D63" s="216"/>
      <c r="E63" s="216"/>
      <c r="F63" s="217"/>
      <c r="G63" s="216"/>
      <c r="H63" s="129"/>
      <c r="I63" s="129"/>
      <c r="J63" s="129"/>
      <c r="K63" s="129"/>
      <c r="L63" s="132"/>
      <c r="M63" s="129"/>
      <c r="N63" s="129"/>
      <c r="O63" s="129"/>
      <c r="P63" s="129"/>
      <c r="Q63" s="129"/>
    </row>
    <row r="64" spans="1:17" s="39" customFormat="1" ht="18.5" outlineLevel="1" x14ac:dyDescent="0.45">
      <c r="A64" s="216"/>
      <c r="B64" s="216"/>
      <c r="C64" s="216"/>
      <c r="D64" s="216"/>
      <c r="E64" s="216"/>
      <c r="F64" s="217"/>
      <c r="G64" s="216"/>
      <c r="H64" s="129"/>
      <c r="I64" s="129"/>
      <c r="J64" s="129"/>
      <c r="K64" s="129"/>
      <c r="L64" s="132"/>
      <c r="M64" s="129"/>
      <c r="N64" s="129"/>
      <c r="O64" s="129"/>
      <c r="P64" s="129"/>
      <c r="Q64" s="129"/>
    </row>
    <row r="65" spans="1:17" s="39" customFormat="1" ht="18.5" outlineLevel="1" x14ac:dyDescent="0.45">
      <c r="A65" s="216"/>
      <c r="B65" s="216"/>
      <c r="C65" s="216"/>
      <c r="D65" s="69"/>
      <c r="E65" s="69"/>
      <c r="F65" s="140"/>
      <c r="G65" s="69"/>
      <c r="H65" s="123"/>
      <c r="I65" s="123"/>
      <c r="J65" s="123"/>
      <c r="K65" s="123"/>
      <c r="L65" s="137"/>
      <c r="M65" s="137"/>
      <c r="N65" s="137"/>
      <c r="O65" s="137"/>
      <c r="P65" s="137"/>
      <c r="Q65" s="137"/>
    </row>
    <row r="66" spans="1:17" s="39" customFormat="1" ht="18.5" outlineLevel="1" x14ac:dyDescent="0.45">
      <c r="A66" s="216"/>
      <c r="B66" s="216"/>
      <c r="C66" s="69"/>
      <c r="D66" s="216"/>
      <c r="E66" s="216"/>
      <c r="F66" s="217"/>
      <c r="G66" s="216"/>
      <c r="H66" s="129"/>
      <c r="I66" s="129"/>
      <c r="J66" s="129"/>
      <c r="K66" s="129"/>
      <c r="L66" s="139"/>
      <c r="M66" s="129"/>
      <c r="N66" s="129"/>
      <c r="O66" s="129"/>
      <c r="P66" s="129"/>
      <c r="Q66" s="129"/>
    </row>
    <row r="67" spans="1:17" s="39" customFormat="1" ht="18.5" outlineLevel="1" x14ac:dyDescent="0.45">
      <c r="A67" s="216"/>
      <c r="B67" s="216"/>
      <c r="C67" s="216"/>
      <c r="D67" s="216"/>
      <c r="E67" s="216"/>
      <c r="F67" s="217"/>
      <c r="G67" s="216"/>
      <c r="H67" s="129"/>
      <c r="I67" s="129"/>
      <c r="J67" s="129"/>
      <c r="K67" s="129"/>
      <c r="L67" s="132"/>
      <c r="M67" s="132"/>
      <c r="N67" s="132"/>
      <c r="O67" s="132"/>
      <c r="P67" s="132"/>
      <c r="Q67" s="132"/>
    </row>
    <row r="68" spans="1:17" s="39" customFormat="1" ht="18.5" outlineLevel="1" x14ac:dyDescent="0.45">
      <c r="A68" s="216"/>
      <c r="B68" s="216"/>
      <c r="C68" s="216"/>
      <c r="D68" s="216"/>
      <c r="E68" s="216"/>
      <c r="F68" s="217"/>
      <c r="G68" s="216"/>
      <c r="H68" s="129"/>
      <c r="I68" s="129"/>
      <c r="J68" s="129"/>
      <c r="K68" s="129"/>
      <c r="L68" s="132"/>
      <c r="M68" s="129"/>
      <c r="N68" s="129"/>
      <c r="O68" s="129"/>
      <c r="P68" s="129"/>
      <c r="Q68" s="129"/>
    </row>
    <row r="69" spans="1:17" s="39" customFormat="1" ht="18.5" outlineLevel="1" x14ac:dyDescent="0.45">
      <c r="A69" s="216"/>
      <c r="B69" s="216"/>
      <c r="C69" s="216"/>
      <c r="D69" s="69"/>
      <c r="E69" s="69"/>
      <c r="F69" s="140"/>
      <c r="G69" s="69"/>
      <c r="H69" s="123"/>
      <c r="I69" s="123"/>
      <c r="J69" s="123"/>
      <c r="K69" s="123"/>
      <c r="L69" s="137"/>
      <c r="M69" s="137"/>
      <c r="N69" s="137"/>
      <c r="O69" s="137"/>
      <c r="P69" s="137"/>
      <c r="Q69" s="137"/>
    </row>
    <row r="70" spans="1:17" s="39" customFormat="1" ht="18.5" outlineLevel="1" x14ac:dyDescent="0.45">
      <c r="A70" s="216"/>
      <c r="B70" s="216"/>
      <c r="C70" s="216"/>
      <c r="D70" s="216"/>
      <c r="E70" s="216"/>
      <c r="F70" s="217"/>
      <c r="G70" s="216"/>
      <c r="H70" s="129"/>
      <c r="I70" s="129"/>
      <c r="J70" s="129"/>
      <c r="K70" s="129"/>
      <c r="L70" s="132"/>
      <c r="M70" s="129"/>
      <c r="N70" s="129"/>
      <c r="O70" s="129"/>
      <c r="P70" s="129"/>
      <c r="Q70" s="129"/>
    </row>
    <row r="71" spans="1:17" s="39" customFormat="1" ht="18.5" outlineLevel="1" x14ac:dyDescent="0.45">
      <c r="A71" s="216"/>
      <c r="B71" s="216"/>
      <c r="C71" s="216"/>
      <c r="D71" s="69"/>
      <c r="E71" s="69"/>
      <c r="F71" s="140"/>
      <c r="G71" s="69"/>
      <c r="H71" s="123"/>
      <c r="I71" s="123"/>
      <c r="J71" s="123"/>
      <c r="K71" s="123"/>
      <c r="L71" s="137"/>
      <c r="M71" s="137"/>
      <c r="N71" s="137"/>
      <c r="O71" s="137"/>
      <c r="P71" s="137"/>
      <c r="Q71" s="137"/>
    </row>
    <row r="72" spans="1:17" s="39" customFormat="1" ht="18.5" outlineLevel="1" x14ac:dyDescent="0.45">
      <c r="A72" s="216"/>
      <c r="B72" s="216"/>
      <c r="C72" s="216"/>
      <c r="D72" s="216"/>
      <c r="E72" s="216"/>
      <c r="F72" s="216"/>
      <c r="G72" s="216"/>
      <c r="H72" s="129"/>
      <c r="I72" s="129"/>
      <c r="J72" s="129"/>
      <c r="K72" s="129"/>
      <c r="L72" s="132"/>
      <c r="M72" s="129"/>
      <c r="N72" s="129"/>
      <c r="O72" s="129"/>
      <c r="P72" s="129"/>
      <c r="Q72" s="129"/>
    </row>
    <row r="73" spans="1:17" s="39" customFormat="1" ht="18.5" outlineLevel="1" x14ac:dyDescent="0.45">
      <c r="A73" s="216"/>
      <c r="B73" s="216"/>
      <c r="C73" s="216"/>
      <c r="D73" s="216"/>
      <c r="E73" s="216"/>
      <c r="F73" s="216"/>
      <c r="G73" s="216"/>
      <c r="H73" s="129"/>
      <c r="I73" s="129"/>
      <c r="J73" s="129"/>
      <c r="K73" s="129"/>
      <c r="L73" s="132"/>
      <c r="M73" s="132"/>
      <c r="N73" s="132"/>
      <c r="O73" s="132"/>
      <c r="P73" s="132"/>
      <c r="Q73" s="132"/>
    </row>
    <row r="74" spans="1:17" s="39" customFormat="1" ht="18.5" outlineLevel="1" x14ac:dyDescent="0.45">
      <c r="A74" s="216"/>
      <c r="B74" s="216"/>
      <c r="C74" s="216"/>
      <c r="D74" s="216"/>
      <c r="E74" s="216"/>
      <c r="F74" s="216"/>
      <c r="G74" s="216"/>
      <c r="H74" s="129"/>
      <c r="I74" s="129"/>
      <c r="J74" s="129"/>
      <c r="K74" s="129"/>
      <c r="L74" s="132"/>
      <c r="M74" s="133"/>
      <c r="N74" s="133"/>
      <c r="O74" s="133"/>
      <c r="P74" s="133"/>
      <c r="Q74" s="133"/>
    </row>
    <row r="75" spans="1:17" s="39" customFormat="1" ht="18.5" x14ac:dyDescent="0.45">
      <c r="A75" s="216"/>
      <c r="B75" s="216"/>
      <c r="C75" s="216"/>
      <c r="D75" s="216"/>
      <c r="E75" s="216"/>
      <c r="F75" s="216"/>
      <c r="G75" s="216"/>
      <c r="H75" s="129"/>
      <c r="I75" s="129"/>
      <c r="J75" s="129"/>
      <c r="K75" s="129"/>
      <c r="L75" s="132"/>
      <c r="M75" s="133"/>
      <c r="N75" s="133"/>
      <c r="O75" s="133"/>
      <c r="P75" s="133"/>
      <c r="Q75" s="133"/>
    </row>
    <row r="76" spans="1:17" s="39" customFormat="1" ht="18.5" x14ac:dyDescent="0.45">
      <c r="A76" s="216"/>
      <c r="B76" s="216"/>
      <c r="C76" s="216"/>
      <c r="D76" s="216"/>
      <c r="E76" s="216"/>
      <c r="F76" s="216"/>
      <c r="G76" s="216"/>
      <c r="H76" s="129"/>
      <c r="I76" s="129"/>
      <c r="J76" s="129"/>
      <c r="K76" s="129"/>
      <c r="L76" s="132"/>
      <c r="M76" s="133"/>
      <c r="N76" s="133"/>
      <c r="O76" s="133"/>
      <c r="P76" s="133"/>
      <c r="Q76" s="133"/>
    </row>
    <row r="77" spans="1:17" s="39" customFormat="1" ht="20.5" x14ac:dyDescent="0.45">
      <c r="A77" s="68"/>
      <c r="B77" s="68"/>
      <c r="C77" s="68"/>
      <c r="D77" s="68"/>
      <c r="E77" s="68"/>
      <c r="F77" s="68"/>
      <c r="G77" s="68"/>
      <c r="H77" s="68"/>
      <c r="I77" s="68"/>
      <c r="J77" s="68"/>
      <c r="K77" s="68"/>
      <c r="L77" s="57"/>
      <c r="M77" s="57"/>
      <c r="N77" s="57"/>
      <c r="O77" s="57"/>
      <c r="P77" s="57"/>
      <c r="Q77" s="57"/>
    </row>
    <row r="78" spans="1:17" s="39" customFormat="1" ht="18.5" x14ac:dyDescent="0.45">
      <c r="A78" s="216"/>
      <c r="B78" s="216"/>
      <c r="C78" s="216"/>
      <c r="D78" s="216"/>
      <c r="E78" s="216"/>
      <c r="F78" s="216"/>
      <c r="G78" s="216"/>
      <c r="H78" s="129"/>
      <c r="I78" s="129"/>
      <c r="J78" s="129"/>
      <c r="K78" s="129"/>
      <c r="L78" s="132"/>
      <c r="M78" s="133"/>
      <c r="N78" s="133"/>
      <c r="O78" s="133"/>
      <c r="P78" s="133"/>
      <c r="Q78" s="133"/>
    </row>
    <row r="79" spans="1:17" s="39" customFormat="1" ht="18.5" outlineLevel="1" x14ac:dyDescent="0.45">
      <c r="A79" s="216"/>
      <c r="B79" s="216"/>
      <c r="C79" s="216"/>
      <c r="D79" s="216"/>
      <c r="E79" s="216"/>
      <c r="F79" s="216"/>
      <c r="G79" s="216"/>
      <c r="H79" s="129"/>
      <c r="I79" s="129"/>
      <c r="J79" s="129"/>
      <c r="K79" s="129"/>
      <c r="L79" s="132"/>
      <c r="M79" s="133"/>
      <c r="N79" s="133"/>
      <c r="O79" s="133"/>
      <c r="P79" s="133"/>
      <c r="Q79" s="133"/>
    </row>
    <row r="80" spans="1:17" s="39" customFormat="1" ht="18.5" outlineLevel="1" x14ac:dyDescent="0.45">
      <c r="A80" s="216"/>
      <c r="B80" s="216"/>
      <c r="C80" s="216"/>
      <c r="D80" s="216"/>
      <c r="E80" s="216"/>
      <c r="F80" s="217"/>
      <c r="G80" s="216"/>
      <c r="H80" s="129"/>
      <c r="I80" s="129"/>
      <c r="J80" s="129"/>
      <c r="K80" s="129"/>
      <c r="L80" s="132"/>
      <c r="M80" s="129"/>
      <c r="N80" s="129"/>
      <c r="O80" s="129"/>
      <c r="P80" s="129"/>
      <c r="Q80" s="129"/>
    </row>
    <row r="81" spans="1:17" s="39" customFormat="1" ht="18.5" outlineLevel="1" x14ac:dyDescent="0.45">
      <c r="A81" s="216"/>
      <c r="B81" s="216"/>
      <c r="C81" s="216"/>
      <c r="D81" s="216"/>
      <c r="E81" s="216"/>
      <c r="F81" s="217"/>
      <c r="G81" s="216"/>
      <c r="H81" s="129"/>
      <c r="I81" s="129"/>
      <c r="J81" s="129"/>
      <c r="K81" s="129"/>
      <c r="L81" s="132"/>
      <c r="M81" s="129"/>
      <c r="N81" s="129"/>
      <c r="O81" s="129"/>
      <c r="P81" s="129"/>
      <c r="Q81" s="129"/>
    </row>
    <row r="82" spans="1:17" s="39" customFormat="1" ht="18.5" outlineLevel="1" x14ac:dyDescent="0.45">
      <c r="A82" s="216"/>
      <c r="B82" s="216"/>
      <c r="C82" s="216"/>
      <c r="D82" s="216"/>
      <c r="E82" s="216"/>
      <c r="F82" s="217"/>
      <c r="G82" s="216"/>
      <c r="H82" s="129"/>
      <c r="I82" s="129"/>
      <c r="J82" s="129"/>
      <c r="K82" s="129"/>
      <c r="L82" s="132"/>
      <c r="M82" s="129"/>
      <c r="N82" s="129"/>
      <c r="O82" s="129"/>
      <c r="P82" s="129"/>
      <c r="Q82" s="129"/>
    </row>
    <row r="83" spans="1:17" s="39" customFormat="1" ht="18.5" outlineLevel="1" x14ac:dyDescent="0.45">
      <c r="A83" s="216"/>
      <c r="B83" s="216"/>
      <c r="C83" s="216"/>
      <c r="D83" s="216"/>
      <c r="E83" s="216"/>
      <c r="F83" s="217"/>
      <c r="G83" s="216"/>
      <c r="H83" s="129"/>
      <c r="I83" s="129"/>
      <c r="J83" s="129"/>
      <c r="K83" s="129"/>
      <c r="L83" s="129"/>
      <c r="M83" s="129"/>
      <c r="N83" s="129"/>
      <c r="O83" s="129"/>
      <c r="P83" s="129"/>
      <c r="Q83" s="129"/>
    </row>
    <row r="84" spans="1:17" s="39" customFormat="1" ht="18.5" outlineLevel="1" x14ac:dyDescent="0.45">
      <c r="A84" s="216"/>
      <c r="B84" s="216"/>
      <c r="C84" s="216"/>
      <c r="D84" s="69"/>
      <c r="E84" s="69"/>
      <c r="F84" s="140"/>
      <c r="G84" s="69"/>
      <c r="H84" s="123"/>
      <c r="I84" s="123"/>
      <c r="J84" s="123"/>
      <c r="K84" s="123"/>
      <c r="L84" s="123"/>
      <c r="M84" s="123"/>
      <c r="N84" s="123"/>
      <c r="O84" s="123"/>
      <c r="P84" s="123"/>
      <c r="Q84" s="123"/>
    </row>
    <row r="85" spans="1:17" s="39" customFormat="1" ht="18.5" outlineLevel="1" x14ac:dyDescent="0.45">
      <c r="A85" s="216"/>
      <c r="B85" s="216"/>
      <c r="C85" s="216"/>
      <c r="D85" s="216"/>
      <c r="E85" s="216"/>
      <c r="F85" s="217"/>
      <c r="G85" s="216"/>
      <c r="H85" s="129"/>
      <c r="I85" s="129"/>
      <c r="J85" s="129"/>
      <c r="K85" s="129"/>
      <c r="L85" s="132"/>
      <c r="M85" s="129"/>
      <c r="N85" s="129"/>
      <c r="O85" s="129"/>
      <c r="P85" s="129"/>
      <c r="Q85" s="129"/>
    </row>
    <row r="86" spans="1:17" s="39" customFormat="1" ht="18.5" outlineLevel="1" x14ac:dyDescent="0.45">
      <c r="A86" s="216"/>
      <c r="B86" s="216"/>
      <c r="C86" s="216"/>
      <c r="D86" s="216"/>
      <c r="E86" s="216"/>
      <c r="F86" s="217"/>
      <c r="G86" s="216"/>
      <c r="H86" s="129"/>
      <c r="I86" s="129"/>
      <c r="J86" s="129"/>
      <c r="K86" s="129"/>
      <c r="L86" s="132"/>
      <c r="M86" s="129"/>
      <c r="N86" s="129"/>
      <c r="O86" s="129"/>
      <c r="P86" s="129"/>
      <c r="Q86" s="129"/>
    </row>
    <row r="87" spans="1:17" s="39" customFormat="1" ht="18.5" outlineLevel="1" x14ac:dyDescent="0.45">
      <c r="A87" s="216"/>
      <c r="B87" s="216"/>
      <c r="C87" s="216"/>
      <c r="D87" s="216"/>
      <c r="E87" s="216"/>
      <c r="F87" s="217"/>
      <c r="G87" s="216"/>
      <c r="H87" s="129"/>
      <c r="I87" s="129"/>
      <c r="J87" s="129"/>
      <c r="K87" s="129"/>
      <c r="L87" s="132"/>
      <c r="M87" s="129"/>
      <c r="N87" s="129"/>
      <c r="O87" s="129"/>
      <c r="P87" s="129"/>
      <c r="Q87" s="129"/>
    </row>
    <row r="88" spans="1:17" s="39" customFormat="1" ht="18.5" outlineLevel="1" x14ac:dyDescent="0.45">
      <c r="A88" s="216"/>
      <c r="B88" s="216"/>
      <c r="C88" s="216"/>
      <c r="D88" s="216"/>
      <c r="E88" s="216"/>
      <c r="F88" s="217"/>
      <c r="G88" s="216"/>
      <c r="H88" s="129"/>
      <c r="I88" s="129"/>
      <c r="J88" s="129"/>
      <c r="K88" s="129"/>
      <c r="L88" s="132"/>
      <c r="M88" s="129"/>
      <c r="N88" s="129"/>
      <c r="O88" s="129"/>
      <c r="P88" s="129"/>
      <c r="Q88" s="129"/>
    </row>
    <row r="89" spans="1:17" s="39" customFormat="1" ht="18.5" outlineLevel="1" x14ac:dyDescent="0.45">
      <c r="A89" s="216"/>
      <c r="B89" s="216"/>
      <c r="C89" s="216"/>
      <c r="D89" s="216"/>
      <c r="E89" s="216"/>
      <c r="F89" s="217"/>
      <c r="G89" s="216"/>
      <c r="H89" s="129"/>
      <c r="I89" s="129"/>
      <c r="J89" s="129"/>
      <c r="K89" s="129"/>
      <c r="L89" s="132"/>
      <c r="M89" s="129"/>
      <c r="N89" s="129"/>
      <c r="O89" s="129"/>
      <c r="P89" s="129"/>
      <c r="Q89" s="129"/>
    </row>
    <row r="90" spans="1:17" s="39" customFormat="1" ht="18.5" outlineLevel="1" x14ac:dyDescent="0.45">
      <c r="A90" s="216"/>
      <c r="B90" s="216"/>
      <c r="C90" s="216"/>
      <c r="D90" s="215"/>
      <c r="E90" s="216"/>
      <c r="F90" s="217"/>
      <c r="G90" s="216"/>
      <c r="H90" s="129"/>
      <c r="I90" s="129"/>
      <c r="J90" s="129"/>
      <c r="K90" s="129"/>
      <c r="L90" s="132"/>
      <c r="M90" s="129"/>
      <c r="N90" s="129"/>
      <c r="O90" s="129"/>
      <c r="P90" s="129"/>
      <c r="Q90" s="129"/>
    </row>
    <row r="91" spans="1:17" s="39" customFormat="1" ht="18.5" outlineLevel="1" x14ac:dyDescent="0.45">
      <c r="A91" s="216"/>
      <c r="B91" s="216"/>
      <c r="C91" s="216"/>
      <c r="D91" s="215"/>
      <c r="E91" s="216"/>
      <c r="F91" s="217"/>
      <c r="G91" s="216"/>
      <c r="H91" s="129"/>
      <c r="I91" s="129"/>
      <c r="J91" s="129"/>
      <c r="K91" s="129"/>
      <c r="L91" s="132"/>
      <c r="M91" s="129"/>
      <c r="N91" s="129"/>
      <c r="O91" s="129"/>
      <c r="P91" s="129"/>
      <c r="Q91" s="129"/>
    </row>
    <row r="92" spans="1:17" s="39" customFormat="1" ht="18.5" outlineLevel="1" x14ac:dyDescent="0.45">
      <c r="A92" s="216"/>
      <c r="B92" s="216"/>
      <c r="C92" s="216"/>
      <c r="D92" s="215"/>
      <c r="E92" s="216"/>
      <c r="F92" s="217"/>
      <c r="G92" s="216"/>
      <c r="H92" s="129"/>
      <c r="I92" s="129"/>
      <c r="J92" s="129"/>
      <c r="K92" s="129"/>
      <c r="L92" s="132"/>
      <c r="M92" s="129"/>
      <c r="N92" s="129"/>
      <c r="O92" s="129"/>
      <c r="P92" s="129"/>
      <c r="Q92" s="129"/>
    </row>
    <row r="93" spans="1:17" s="39" customFormat="1" ht="18.5" outlineLevel="1" x14ac:dyDescent="0.45">
      <c r="A93" s="216"/>
      <c r="B93" s="216"/>
      <c r="C93" s="216"/>
      <c r="D93" s="69"/>
      <c r="E93" s="69"/>
      <c r="F93" s="140"/>
      <c r="G93" s="69"/>
      <c r="H93" s="123"/>
      <c r="I93" s="123"/>
      <c r="J93" s="123"/>
      <c r="K93" s="123"/>
      <c r="L93" s="123"/>
      <c r="M93" s="123"/>
      <c r="N93" s="123"/>
      <c r="O93" s="123"/>
      <c r="P93" s="123"/>
      <c r="Q93" s="123"/>
    </row>
    <row r="94" spans="1:17" s="39" customFormat="1" ht="18.5" outlineLevel="1" x14ac:dyDescent="0.45">
      <c r="A94" s="216"/>
      <c r="B94" s="216"/>
      <c r="C94" s="216"/>
      <c r="D94" s="216"/>
      <c r="E94" s="216"/>
      <c r="F94" s="216"/>
      <c r="G94" s="216"/>
      <c r="H94" s="129"/>
      <c r="I94" s="129"/>
      <c r="J94" s="129"/>
      <c r="K94" s="129"/>
      <c r="L94" s="132"/>
      <c r="M94" s="129"/>
      <c r="N94" s="129"/>
      <c r="O94" s="129"/>
      <c r="P94" s="129"/>
      <c r="Q94" s="129"/>
    </row>
    <row r="95" spans="1:17" s="39" customFormat="1" ht="18.5" outlineLevel="1" x14ac:dyDescent="0.45">
      <c r="A95" s="216"/>
      <c r="B95" s="216"/>
      <c r="C95" s="216"/>
      <c r="D95" s="216"/>
      <c r="E95" s="216"/>
      <c r="F95" s="216"/>
      <c r="G95" s="216"/>
      <c r="H95" s="129"/>
      <c r="I95" s="129"/>
      <c r="J95" s="129"/>
      <c r="K95" s="129"/>
      <c r="L95" s="132"/>
      <c r="M95" s="129"/>
      <c r="N95" s="129"/>
      <c r="O95" s="129"/>
      <c r="P95" s="129"/>
      <c r="Q95" s="129"/>
    </row>
    <row r="96" spans="1:17" s="39" customFormat="1" ht="18.5" outlineLevel="1" x14ac:dyDescent="0.45">
      <c r="A96" s="216"/>
      <c r="B96" s="216"/>
      <c r="C96" s="216"/>
      <c r="D96" s="216"/>
      <c r="E96" s="216"/>
      <c r="F96" s="217"/>
      <c r="G96" s="216"/>
      <c r="H96" s="129"/>
      <c r="I96" s="129"/>
      <c r="J96" s="129"/>
      <c r="K96" s="129"/>
      <c r="L96" s="132"/>
      <c r="M96" s="129"/>
      <c r="N96" s="129"/>
      <c r="O96" s="129"/>
      <c r="P96" s="129"/>
      <c r="Q96" s="129"/>
    </row>
    <row r="97" spans="1:17" s="39" customFormat="1" ht="18.5" outlineLevel="1" x14ac:dyDescent="0.45">
      <c r="A97" s="216"/>
      <c r="B97" s="216"/>
      <c r="C97" s="216"/>
      <c r="D97" s="216"/>
      <c r="E97" s="216"/>
      <c r="F97" s="217"/>
      <c r="G97" s="216"/>
      <c r="H97" s="129"/>
      <c r="I97" s="129"/>
      <c r="J97" s="129"/>
      <c r="K97" s="129"/>
      <c r="L97" s="132"/>
      <c r="M97" s="129"/>
      <c r="N97" s="129"/>
      <c r="O97" s="129"/>
      <c r="P97" s="129"/>
      <c r="Q97" s="129"/>
    </row>
    <row r="98" spans="1:17" s="39" customFormat="1" ht="18.5" outlineLevel="1" x14ac:dyDescent="0.45">
      <c r="A98" s="216"/>
      <c r="B98" s="216"/>
      <c r="C98" s="216"/>
      <c r="D98" s="216"/>
      <c r="E98" s="216"/>
      <c r="F98" s="217"/>
      <c r="G98" s="216"/>
      <c r="H98" s="129"/>
      <c r="I98" s="129"/>
      <c r="J98" s="129"/>
      <c r="K98" s="129"/>
      <c r="L98" s="132"/>
      <c r="M98" s="129"/>
      <c r="N98" s="129"/>
      <c r="O98" s="129"/>
      <c r="P98" s="129"/>
      <c r="Q98" s="129"/>
    </row>
    <row r="99" spans="1:17" s="39" customFormat="1" ht="18.5" outlineLevel="1" x14ac:dyDescent="0.45">
      <c r="A99" s="216"/>
      <c r="B99" s="216"/>
      <c r="C99" s="216"/>
      <c r="D99" s="216"/>
      <c r="E99" s="216"/>
      <c r="F99" s="217"/>
      <c r="G99" s="216"/>
      <c r="H99" s="129"/>
      <c r="I99" s="129"/>
      <c r="J99" s="129"/>
      <c r="K99" s="129"/>
      <c r="L99" s="132"/>
      <c r="M99" s="129"/>
      <c r="N99" s="129"/>
      <c r="O99" s="129"/>
      <c r="P99" s="129"/>
      <c r="Q99" s="129"/>
    </row>
    <row r="100" spans="1:17" s="39" customFormat="1" ht="18.5" outlineLevel="1" x14ac:dyDescent="0.45">
      <c r="A100" s="216"/>
      <c r="B100" s="216"/>
      <c r="C100" s="216"/>
      <c r="D100" s="69"/>
      <c r="E100" s="69"/>
      <c r="F100" s="140"/>
      <c r="G100" s="69"/>
      <c r="H100" s="123"/>
      <c r="I100" s="123"/>
      <c r="J100" s="123"/>
      <c r="K100" s="123"/>
      <c r="L100" s="123"/>
      <c r="M100" s="123"/>
      <c r="N100" s="123"/>
      <c r="O100" s="123"/>
      <c r="P100" s="123"/>
      <c r="Q100" s="123"/>
    </row>
    <row r="101" spans="1:17" s="39" customFormat="1" ht="18.5" outlineLevel="1" x14ac:dyDescent="0.45">
      <c r="A101" s="216"/>
      <c r="B101" s="216"/>
      <c r="C101" s="216"/>
      <c r="D101" s="216"/>
      <c r="E101" s="216"/>
      <c r="F101" s="216"/>
      <c r="G101" s="216"/>
      <c r="H101" s="129"/>
      <c r="I101" s="129"/>
      <c r="J101" s="129"/>
      <c r="K101" s="129"/>
      <c r="L101" s="132"/>
      <c r="M101" s="129"/>
      <c r="N101" s="129"/>
      <c r="O101" s="129"/>
      <c r="P101" s="129"/>
      <c r="Q101" s="129"/>
    </row>
    <row r="102" spans="1:17" s="39" customFormat="1" ht="18.5" outlineLevel="1" x14ac:dyDescent="0.45">
      <c r="A102" s="216"/>
      <c r="B102" s="216"/>
      <c r="C102" s="218"/>
      <c r="D102" s="216"/>
      <c r="E102" s="216"/>
      <c r="F102" s="217"/>
      <c r="G102" s="216"/>
      <c r="H102" s="129"/>
      <c r="I102" s="129"/>
      <c r="J102" s="129"/>
      <c r="K102" s="129"/>
      <c r="L102" s="129"/>
      <c r="M102" s="129"/>
      <c r="N102" s="129"/>
      <c r="O102" s="129"/>
      <c r="P102" s="129"/>
      <c r="Q102" s="129"/>
    </row>
    <row r="103" spans="1:17" s="39" customFormat="1" ht="18.5" outlineLevel="1" x14ac:dyDescent="0.45">
      <c r="A103" s="216"/>
      <c r="B103" s="216"/>
      <c r="C103" s="216"/>
      <c r="D103" s="216"/>
      <c r="E103" s="216"/>
      <c r="F103" s="217"/>
      <c r="G103" s="216"/>
      <c r="H103" s="129"/>
      <c r="I103" s="129"/>
      <c r="J103" s="129"/>
      <c r="K103" s="129"/>
      <c r="L103" s="132"/>
      <c r="M103" s="129"/>
      <c r="N103" s="129"/>
      <c r="O103" s="129"/>
      <c r="P103" s="129"/>
      <c r="Q103" s="129"/>
    </row>
    <row r="104" spans="1:17" s="39" customFormat="1" ht="18.5" outlineLevel="1" x14ac:dyDescent="0.45">
      <c r="A104" s="216"/>
      <c r="B104" s="216"/>
      <c r="C104" s="216"/>
      <c r="D104" s="69"/>
      <c r="E104" s="69"/>
      <c r="F104" s="140"/>
      <c r="G104" s="69"/>
      <c r="H104" s="123"/>
      <c r="I104" s="123"/>
      <c r="J104" s="123"/>
      <c r="K104" s="123"/>
      <c r="L104" s="123"/>
      <c r="M104" s="123"/>
      <c r="N104" s="123"/>
      <c r="O104" s="123"/>
      <c r="P104" s="123"/>
      <c r="Q104" s="123"/>
    </row>
    <row r="105" spans="1:17" s="39" customFormat="1" ht="18.5" outlineLevel="1" x14ac:dyDescent="0.45">
      <c r="A105" s="216"/>
      <c r="B105" s="216"/>
      <c r="C105" s="216"/>
      <c r="D105" s="216"/>
      <c r="E105" s="216"/>
      <c r="F105" s="216"/>
      <c r="G105" s="216"/>
      <c r="H105" s="129"/>
      <c r="I105" s="129"/>
      <c r="J105" s="129"/>
      <c r="K105" s="129"/>
      <c r="L105" s="132"/>
      <c r="M105" s="134"/>
      <c r="N105" s="134"/>
      <c r="O105" s="134"/>
      <c r="P105" s="134"/>
      <c r="Q105" s="134"/>
    </row>
    <row r="106" spans="1:17" s="39" customFormat="1" ht="18.5" x14ac:dyDescent="0.45">
      <c r="A106" s="216"/>
      <c r="B106" s="216"/>
      <c r="C106" s="216"/>
      <c r="D106" s="216"/>
      <c r="E106" s="216"/>
      <c r="F106" s="216"/>
      <c r="G106" s="216"/>
      <c r="H106" s="129"/>
      <c r="I106" s="129"/>
      <c r="J106" s="129"/>
      <c r="K106" s="129"/>
      <c r="L106" s="132"/>
      <c r="M106" s="134"/>
      <c r="N106" s="134"/>
      <c r="O106" s="134"/>
      <c r="P106" s="134"/>
      <c r="Q106" s="134"/>
    </row>
    <row r="107" spans="1:17" s="39" customFormat="1" ht="18.5" x14ac:dyDescent="0.45">
      <c r="A107" s="216"/>
      <c r="B107" s="216"/>
      <c r="C107" s="216"/>
      <c r="D107" s="216"/>
      <c r="E107" s="216"/>
      <c r="F107" s="216"/>
      <c r="G107" s="216"/>
      <c r="H107" s="129"/>
      <c r="I107" s="129"/>
      <c r="J107" s="129"/>
      <c r="K107" s="129"/>
      <c r="L107" s="132"/>
      <c r="M107" s="134"/>
      <c r="N107" s="134"/>
      <c r="O107" s="134"/>
      <c r="P107" s="134"/>
      <c r="Q107" s="134"/>
    </row>
    <row r="108" spans="1:17" s="39" customFormat="1" ht="20.5" x14ac:dyDescent="0.45">
      <c r="A108" s="68"/>
      <c r="B108" s="68"/>
      <c r="C108" s="68"/>
      <c r="D108" s="68"/>
      <c r="E108" s="68"/>
      <c r="F108" s="68"/>
      <c r="G108" s="68"/>
      <c r="H108" s="68"/>
      <c r="I108" s="68"/>
      <c r="J108" s="68"/>
      <c r="K108" s="68"/>
      <c r="L108" s="57"/>
      <c r="M108" s="57"/>
      <c r="N108" s="57"/>
      <c r="O108" s="57"/>
      <c r="P108" s="57"/>
      <c r="Q108" s="57"/>
    </row>
    <row r="109" spans="1:17" s="39" customFormat="1" ht="18.5" x14ac:dyDescent="0.45">
      <c r="A109" s="216"/>
      <c r="B109" s="216"/>
      <c r="C109" s="216"/>
      <c r="D109" s="216"/>
      <c r="E109" s="216"/>
      <c r="F109" s="216"/>
      <c r="G109" s="216"/>
      <c r="H109" s="129"/>
      <c r="I109" s="129"/>
      <c r="J109" s="129"/>
      <c r="K109" s="129"/>
      <c r="L109" s="132"/>
      <c r="M109" s="134"/>
      <c r="N109" s="134"/>
      <c r="O109" s="134"/>
      <c r="P109" s="134"/>
      <c r="Q109" s="134"/>
    </row>
    <row r="110" spans="1:17" s="39" customFormat="1" ht="18.5" x14ac:dyDescent="0.45">
      <c r="A110" s="216"/>
      <c r="B110" s="216"/>
      <c r="C110" s="69"/>
      <c r="D110" s="216"/>
      <c r="E110" s="216"/>
      <c r="F110" s="216"/>
      <c r="G110" s="216"/>
      <c r="H110" s="129"/>
      <c r="I110" s="129"/>
      <c r="J110" s="129"/>
      <c r="K110" s="129"/>
      <c r="L110" s="132"/>
      <c r="M110" s="134"/>
      <c r="N110" s="134"/>
      <c r="O110" s="134"/>
      <c r="P110" s="134"/>
      <c r="Q110" s="134"/>
    </row>
    <row r="111" spans="1:17" s="39" customFormat="1" ht="18.5" x14ac:dyDescent="0.45">
      <c r="A111" s="216"/>
      <c r="B111" s="216"/>
      <c r="C111" s="216"/>
      <c r="D111" s="216"/>
      <c r="E111" s="216"/>
      <c r="F111" s="217"/>
      <c r="G111" s="216"/>
      <c r="H111" s="129"/>
      <c r="I111" s="129"/>
      <c r="J111" s="129"/>
      <c r="K111" s="129"/>
      <c r="L111" s="132"/>
      <c r="M111" s="129"/>
      <c r="N111" s="129"/>
      <c r="O111" s="129"/>
      <c r="P111" s="129"/>
      <c r="Q111" s="129"/>
    </row>
    <row r="112" spans="1:17" s="39" customFormat="1" ht="18.5" x14ac:dyDescent="0.45">
      <c r="A112" s="216"/>
      <c r="B112" s="216"/>
      <c r="C112" s="216"/>
      <c r="D112" s="216"/>
      <c r="E112" s="216"/>
      <c r="F112" s="217"/>
      <c r="G112" s="216"/>
      <c r="H112" s="129"/>
      <c r="I112" s="129"/>
      <c r="J112" s="129"/>
      <c r="K112" s="129"/>
      <c r="L112" s="132"/>
      <c r="M112" s="129"/>
      <c r="N112" s="129"/>
      <c r="O112" s="129"/>
      <c r="P112" s="129"/>
      <c r="Q112" s="129"/>
    </row>
    <row r="113" spans="1:17" s="39" customFormat="1" ht="18.5" x14ac:dyDescent="0.45">
      <c r="A113" s="216"/>
      <c r="B113" s="216"/>
      <c r="C113" s="216"/>
      <c r="D113" s="216"/>
      <c r="E113" s="216"/>
      <c r="F113" s="217"/>
      <c r="G113" s="216"/>
      <c r="H113" s="129"/>
      <c r="I113" s="129"/>
      <c r="J113" s="129"/>
      <c r="K113" s="129"/>
      <c r="L113" s="132"/>
      <c r="M113" s="129"/>
      <c r="N113" s="129"/>
      <c r="O113" s="129"/>
      <c r="P113" s="129"/>
      <c r="Q113" s="129"/>
    </row>
    <row r="114" spans="1:17" s="39" customFormat="1" ht="18.5" x14ac:dyDescent="0.45">
      <c r="A114" s="216"/>
      <c r="B114" s="216"/>
      <c r="C114" s="216"/>
      <c r="D114" s="216"/>
      <c r="E114" s="216"/>
      <c r="F114" s="217"/>
      <c r="G114" s="216"/>
      <c r="H114" s="129"/>
      <c r="I114" s="129"/>
      <c r="J114" s="129"/>
      <c r="K114" s="129"/>
      <c r="L114" s="132"/>
      <c r="M114" s="129"/>
      <c r="N114" s="129"/>
      <c r="O114" s="129"/>
      <c r="P114" s="129"/>
      <c r="Q114" s="129"/>
    </row>
    <row r="115" spans="1:17" s="39" customFormat="1" ht="18.5" x14ac:dyDescent="0.45">
      <c r="A115" s="216"/>
      <c r="B115" s="216"/>
      <c r="C115" s="216"/>
      <c r="D115" s="69"/>
      <c r="E115" s="69"/>
      <c r="F115" s="140"/>
      <c r="G115" s="69"/>
      <c r="H115" s="123"/>
      <c r="I115" s="123"/>
      <c r="J115" s="123"/>
      <c r="K115" s="123"/>
      <c r="L115" s="123"/>
      <c r="M115" s="123"/>
      <c r="N115" s="123"/>
      <c r="O115" s="123"/>
      <c r="P115" s="123"/>
      <c r="Q115" s="123"/>
    </row>
    <row r="116" spans="1:17" s="39" customFormat="1" ht="18.5" x14ac:dyDescent="0.45">
      <c r="A116" s="216"/>
      <c r="B116" s="216"/>
      <c r="C116" s="216"/>
      <c r="D116" s="216"/>
      <c r="E116" s="216"/>
      <c r="F116" s="217"/>
      <c r="G116" s="216"/>
      <c r="H116" s="129"/>
      <c r="I116" s="129"/>
      <c r="J116" s="129"/>
      <c r="K116" s="129"/>
      <c r="L116" s="132"/>
      <c r="M116" s="134"/>
      <c r="N116" s="134"/>
      <c r="O116" s="134"/>
      <c r="P116" s="134"/>
      <c r="Q116" s="134"/>
    </row>
    <row r="117" spans="1:17" s="39" customFormat="1" ht="18.5" x14ac:dyDescent="0.45">
      <c r="A117" s="216"/>
      <c r="B117" s="216"/>
      <c r="C117" s="216"/>
      <c r="D117" s="216"/>
      <c r="E117" s="216"/>
      <c r="F117" s="218"/>
      <c r="G117" s="216"/>
      <c r="H117" s="129"/>
      <c r="I117" s="129"/>
      <c r="J117" s="129"/>
      <c r="K117" s="129"/>
      <c r="L117" s="132"/>
      <c r="M117" s="134"/>
      <c r="N117" s="134"/>
      <c r="O117" s="134"/>
      <c r="P117" s="134"/>
      <c r="Q117" s="134"/>
    </row>
    <row r="118" spans="1:17" s="39" customFormat="1" ht="18.5" x14ac:dyDescent="0.45">
      <c r="A118" s="216"/>
      <c r="B118" s="216"/>
      <c r="C118" s="216"/>
      <c r="D118" s="216"/>
      <c r="E118" s="216"/>
      <c r="F118" s="217"/>
      <c r="G118" s="216"/>
      <c r="H118" s="129"/>
      <c r="I118" s="129"/>
      <c r="J118" s="129"/>
      <c r="K118" s="129"/>
      <c r="L118" s="129"/>
      <c r="M118" s="129"/>
      <c r="N118" s="129"/>
      <c r="O118" s="129"/>
      <c r="P118" s="129"/>
      <c r="Q118" s="129"/>
    </row>
    <row r="119" spans="1:17" s="39" customFormat="1" ht="18.5" x14ac:dyDescent="0.45">
      <c r="A119" s="216"/>
      <c r="B119" s="216"/>
      <c r="C119" s="216"/>
      <c r="D119" s="216"/>
      <c r="E119" s="216"/>
      <c r="F119" s="217"/>
      <c r="G119" s="216"/>
      <c r="H119" s="129"/>
      <c r="I119" s="129"/>
      <c r="J119" s="129"/>
      <c r="K119" s="129"/>
      <c r="L119" s="129"/>
      <c r="M119" s="129"/>
      <c r="N119" s="129"/>
      <c r="O119" s="129"/>
      <c r="P119" s="129"/>
      <c r="Q119" s="129"/>
    </row>
    <row r="120" spans="1:17" s="39" customFormat="1" ht="18.5" x14ac:dyDescent="0.45">
      <c r="A120" s="216"/>
      <c r="B120" s="216"/>
      <c r="C120" s="216"/>
      <c r="D120" s="216"/>
      <c r="E120" s="216"/>
      <c r="F120" s="217"/>
      <c r="G120" s="216"/>
      <c r="H120" s="129"/>
      <c r="I120" s="129"/>
      <c r="J120" s="129"/>
      <c r="K120" s="129"/>
      <c r="L120" s="129"/>
      <c r="M120" s="129"/>
      <c r="N120" s="129"/>
      <c r="O120" s="129"/>
      <c r="P120" s="129"/>
      <c r="Q120" s="129"/>
    </row>
    <row r="121" spans="1:17" s="39" customFormat="1" ht="18.5" x14ac:dyDescent="0.45">
      <c r="A121" s="216"/>
      <c r="B121" s="216"/>
      <c r="C121" s="216"/>
      <c r="D121" s="69"/>
      <c r="E121" s="69"/>
      <c r="F121" s="140"/>
      <c r="G121" s="69"/>
      <c r="H121" s="123"/>
      <c r="I121" s="123"/>
      <c r="J121" s="123"/>
      <c r="K121" s="123"/>
      <c r="L121" s="123"/>
      <c r="M121" s="123"/>
      <c r="N121" s="123"/>
      <c r="O121" s="123"/>
      <c r="P121" s="123"/>
      <c r="Q121" s="123"/>
    </row>
    <row r="122" spans="1:17" s="39" customFormat="1" ht="18.5" x14ac:dyDescent="0.45">
      <c r="A122" s="216"/>
      <c r="B122" s="216"/>
      <c r="C122" s="216"/>
      <c r="D122" s="216"/>
      <c r="E122" s="216"/>
      <c r="F122" s="216"/>
      <c r="G122" s="216"/>
      <c r="H122" s="129"/>
      <c r="I122" s="129"/>
      <c r="J122" s="129"/>
      <c r="K122" s="129"/>
      <c r="L122" s="132"/>
      <c r="M122" s="134"/>
      <c r="N122" s="134"/>
      <c r="O122" s="134"/>
      <c r="P122" s="134"/>
      <c r="Q122" s="134"/>
    </row>
    <row r="123" spans="1:17" s="39" customFormat="1" ht="18.5" x14ac:dyDescent="0.45">
      <c r="A123" s="216"/>
      <c r="B123" s="216"/>
      <c r="C123" s="216"/>
      <c r="D123" s="216"/>
      <c r="E123" s="216"/>
      <c r="F123" s="216"/>
      <c r="G123" s="216"/>
      <c r="H123" s="129"/>
      <c r="I123" s="129"/>
      <c r="J123" s="129"/>
      <c r="K123" s="129"/>
      <c r="L123" s="132"/>
      <c r="M123" s="134"/>
      <c r="N123" s="134"/>
      <c r="O123" s="134"/>
      <c r="P123" s="134"/>
      <c r="Q123" s="134"/>
    </row>
    <row r="124" spans="1:17" s="39" customFormat="1" ht="18.5" x14ac:dyDescent="0.45">
      <c r="A124" s="216"/>
      <c r="B124" s="216"/>
      <c r="C124" s="216"/>
      <c r="D124" s="216"/>
      <c r="E124" s="216"/>
      <c r="F124" s="217"/>
      <c r="G124" s="216"/>
      <c r="H124" s="129"/>
      <c r="I124" s="129"/>
      <c r="J124" s="129"/>
      <c r="K124" s="129"/>
      <c r="L124" s="132"/>
      <c r="M124" s="129"/>
      <c r="N124" s="129"/>
      <c r="O124" s="129"/>
      <c r="P124" s="129"/>
      <c r="Q124" s="129"/>
    </row>
    <row r="125" spans="1:17" s="39" customFormat="1" ht="18.5" x14ac:dyDescent="0.45">
      <c r="A125" s="216"/>
      <c r="B125" s="216"/>
      <c r="C125" s="216"/>
      <c r="D125" s="216"/>
      <c r="E125" s="216"/>
      <c r="F125" s="217"/>
      <c r="G125" s="216"/>
      <c r="H125" s="129"/>
      <c r="I125" s="129"/>
      <c r="J125" s="129"/>
      <c r="K125" s="129"/>
      <c r="L125" s="132"/>
      <c r="M125" s="129"/>
      <c r="N125" s="129"/>
      <c r="O125" s="129"/>
      <c r="P125" s="129"/>
      <c r="Q125" s="129"/>
    </row>
    <row r="126" spans="1:17" s="39" customFormat="1" ht="18.5" x14ac:dyDescent="0.45">
      <c r="A126" s="216"/>
      <c r="B126" s="216"/>
      <c r="C126" s="216"/>
      <c r="D126" s="216"/>
      <c r="E126" s="216"/>
      <c r="F126" s="140"/>
      <c r="G126" s="69"/>
      <c r="H126" s="123"/>
      <c r="I126" s="123"/>
      <c r="J126" s="123"/>
      <c r="K126" s="123"/>
      <c r="L126" s="123"/>
      <c r="M126" s="123"/>
      <c r="N126" s="123"/>
      <c r="O126" s="123"/>
      <c r="P126" s="123"/>
      <c r="Q126" s="123"/>
    </row>
    <row r="127" spans="1:17" s="39" customFormat="1" ht="18.5" x14ac:dyDescent="0.45">
      <c r="A127" s="216"/>
      <c r="B127" s="216"/>
      <c r="C127" s="216"/>
      <c r="D127" s="216"/>
      <c r="E127" s="216"/>
      <c r="F127" s="217"/>
      <c r="G127" s="216"/>
      <c r="H127" s="129"/>
      <c r="I127" s="129"/>
      <c r="J127" s="129"/>
      <c r="K127" s="129"/>
      <c r="L127" s="132"/>
      <c r="M127" s="129"/>
      <c r="N127" s="129"/>
      <c r="O127" s="129"/>
      <c r="P127" s="129"/>
      <c r="Q127" s="129"/>
    </row>
    <row r="128" spans="1:17" s="39" customFormat="1" ht="18.5" x14ac:dyDescent="0.45">
      <c r="A128" s="216"/>
      <c r="B128" s="216"/>
      <c r="C128" s="216"/>
      <c r="D128" s="216"/>
      <c r="E128" s="216"/>
      <c r="F128" s="216"/>
      <c r="G128" s="216"/>
      <c r="H128" s="129"/>
      <c r="I128" s="129"/>
      <c r="J128" s="129"/>
      <c r="K128" s="129"/>
      <c r="L128" s="132"/>
      <c r="M128" s="134"/>
      <c r="N128" s="134"/>
      <c r="O128" s="134"/>
      <c r="P128" s="134"/>
      <c r="Q128" s="134"/>
    </row>
    <row r="129" spans="1:18" s="39" customFormat="1" ht="20.5" x14ac:dyDescent="0.45">
      <c r="A129" s="68"/>
      <c r="B129" s="68"/>
      <c r="C129" s="68"/>
      <c r="D129" s="68"/>
      <c r="E129" s="68"/>
      <c r="F129" s="68"/>
      <c r="G129" s="68"/>
      <c r="H129" s="68"/>
      <c r="I129" s="68"/>
      <c r="J129" s="68"/>
      <c r="K129" s="68"/>
      <c r="L129" s="57"/>
      <c r="M129" s="57"/>
      <c r="N129" s="57"/>
      <c r="O129" s="57"/>
      <c r="P129" s="57"/>
      <c r="Q129" s="57"/>
    </row>
    <row r="130" spans="1:18" s="39" customFormat="1" ht="18.5" x14ac:dyDescent="0.45">
      <c r="A130" s="216"/>
      <c r="B130" s="216"/>
      <c r="C130" s="216"/>
      <c r="D130" s="216"/>
      <c r="E130" s="216"/>
      <c r="F130" s="216"/>
      <c r="G130" s="216"/>
      <c r="H130" s="129"/>
      <c r="I130" s="129"/>
      <c r="J130" s="129"/>
      <c r="K130" s="129"/>
      <c r="L130" s="132"/>
      <c r="M130" s="134"/>
      <c r="N130" s="134"/>
      <c r="O130" s="134"/>
      <c r="P130" s="134"/>
      <c r="Q130" s="134"/>
    </row>
    <row r="131" spans="1:18" s="39" customFormat="1" ht="18.5" x14ac:dyDescent="0.45">
      <c r="A131" s="216"/>
      <c r="B131" s="216"/>
      <c r="C131" s="216"/>
      <c r="D131" s="69"/>
      <c r="E131" s="216"/>
      <c r="F131" s="216"/>
      <c r="G131" s="216"/>
      <c r="H131" s="129"/>
      <c r="I131" s="129"/>
      <c r="J131" s="129"/>
      <c r="K131" s="129"/>
      <c r="L131" s="139"/>
      <c r="M131" s="134"/>
      <c r="N131" s="134"/>
      <c r="O131" s="134"/>
      <c r="P131" s="134"/>
      <c r="Q131" s="134"/>
    </row>
    <row r="132" spans="1:18" s="39" customFormat="1" ht="18.5" x14ac:dyDescent="0.45">
      <c r="A132" s="216"/>
      <c r="B132" s="216"/>
      <c r="C132" s="216"/>
      <c r="D132" s="216"/>
      <c r="E132" s="220"/>
      <c r="F132" s="216"/>
      <c r="G132" s="216"/>
      <c r="H132" s="129"/>
      <c r="I132" s="129"/>
      <c r="J132" s="129"/>
      <c r="K132" s="129"/>
      <c r="L132" s="139"/>
      <c r="M132" s="134"/>
      <c r="N132" s="134"/>
      <c r="O132" s="134"/>
      <c r="P132" s="134"/>
      <c r="Q132" s="134"/>
    </row>
    <row r="133" spans="1:18" s="39" customFormat="1" ht="18.5" x14ac:dyDescent="0.45">
      <c r="A133" s="216"/>
      <c r="B133" s="216"/>
      <c r="C133" s="216"/>
      <c r="D133" s="216"/>
      <c r="E133" s="220"/>
      <c r="F133" s="216"/>
      <c r="G133" s="216"/>
      <c r="H133" s="129"/>
      <c r="I133" s="129"/>
      <c r="J133" s="129"/>
      <c r="K133" s="129"/>
      <c r="L133" s="139"/>
      <c r="M133" s="134"/>
      <c r="N133" s="134"/>
      <c r="O133" s="134"/>
      <c r="P133" s="134"/>
      <c r="Q133" s="134"/>
    </row>
    <row r="134" spans="1:18" s="39" customFormat="1" ht="18.5" x14ac:dyDescent="0.45">
      <c r="A134" s="216"/>
      <c r="B134" s="216"/>
      <c r="C134" s="216"/>
      <c r="D134" s="216"/>
      <c r="E134" s="221"/>
      <c r="F134" s="216"/>
      <c r="G134" s="216"/>
      <c r="H134" s="129"/>
      <c r="I134" s="129"/>
      <c r="J134" s="129"/>
      <c r="K134" s="129"/>
      <c r="L134" s="139"/>
      <c r="M134" s="134"/>
      <c r="N134" s="134"/>
      <c r="O134" s="134"/>
      <c r="P134" s="134"/>
      <c r="Q134" s="134"/>
    </row>
    <row r="135" spans="1:18" s="39" customFormat="1" ht="18.5" x14ac:dyDescent="0.45">
      <c r="A135" s="216"/>
      <c r="B135" s="216"/>
      <c r="C135" s="216"/>
      <c r="D135" s="216"/>
      <c r="E135" s="120"/>
      <c r="F135" s="216"/>
      <c r="G135" s="216"/>
      <c r="H135" s="129"/>
      <c r="I135" s="129"/>
      <c r="J135" s="129"/>
      <c r="K135" s="129"/>
      <c r="L135" s="139"/>
      <c r="M135" s="134"/>
      <c r="N135" s="134"/>
      <c r="O135" s="134"/>
      <c r="P135" s="134"/>
      <c r="Q135" s="134"/>
    </row>
    <row r="136" spans="1:18" s="39" customFormat="1" ht="18.5" x14ac:dyDescent="0.45">
      <c r="A136" s="216"/>
      <c r="B136" s="216"/>
      <c r="C136" s="216"/>
      <c r="D136" s="216"/>
      <c r="E136" s="222"/>
      <c r="F136" s="216"/>
      <c r="G136" s="216"/>
      <c r="H136" s="129"/>
      <c r="I136" s="129"/>
      <c r="J136" s="129"/>
      <c r="K136" s="129"/>
      <c r="L136" s="139"/>
      <c r="M136" s="134"/>
      <c r="N136" s="134"/>
      <c r="O136" s="134"/>
      <c r="P136" s="134"/>
      <c r="Q136" s="134"/>
    </row>
    <row r="137" spans="1:18" s="39" customFormat="1" ht="18.5" x14ac:dyDescent="0.45">
      <c r="A137" s="216"/>
      <c r="B137" s="216"/>
      <c r="C137" s="216"/>
      <c r="D137" s="216"/>
      <c r="E137" s="221"/>
      <c r="F137" s="216"/>
      <c r="G137" s="216"/>
      <c r="H137" s="129"/>
      <c r="I137" s="129"/>
      <c r="J137" s="129"/>
      <c r="K137" s="129"/>
      <c r="L137" s="139"/>
      <c r="M137" s="134"/>
      <c r="N137" s="134"/>
      <c r="O137" s="134"/>
      <c r="P137" s="134"/>
      <c r="Q137" s="134"/>
    </row>
    <row r="138" spans="1:18" s="39" customFormat="1" ht="18.5" x14ac:dyDescent="0.45">
      <c r="A138" s="130"/>
      <c r="B138" s="130"/>
      <c r="C138" s="130"/>
      <c r="D138" s="130"/>
      <c r="E138" s="151"/>
      <c r="F138" s="130"/>
      <c r="G138" s="130"/>
      <c r="H138" s="139"/>
      <c r="I138" s="139"/>
      <c r="J138" s="139"/>
      <c r="K138" s="139"/>
      <c r="L138" s="139"/>
      <c r="M138" s="134"/>
      <c r="N138" s="134"/>
      <c r="O138" s="134"/>
      <c r="P138" s="134"/>
      <c r="Q138" s="134"/>
    </row>
    <row r="139" spans="1:18" s="39" customFormat="1" ht="18.5" x14ac:dyDescent="0.45">
      <c r="A139" s="130"/>
      <c r="B139" s="130"/>
      <c r="C139" s="130"/>
      <c r="D139" s="130"/>
      <c r="E139" s="130"/>
      <c r="F139" s="130"/>
      <c r="G139" s="130"/>
      <c r="H139" s="139"/>
      <c r="I139" s="139"/>
      <c r="J139" s="139"/>
      <c r="K139" s="139"/>
      <c r="L139" s="139"/>
      <c r="M139" s="134"/>
      <c r="N139" s="134"/>
      <c r="O139" s="134"/>
      <c r="P139" s="134"/>
      <c r="Q139" s="134"/>
    </row>
    <row r="140" spans="1:18" s="39" customFormat="1" ht="18.5" x14ac:dyDescent="0.45">
      <c r="A140" s="130"/>
      <c r="B140" s="130"/>
      <c r="C140" s="130"/>
      <c r="D140" s="130"/>
      <c r="E140" s="130"/>
      <c r="F140" s="130"/>
      <c r="G140" s="130"/>
      <c r="H140" s="139"/>
      <c r="I140" s="139"/>
      <c r="J140" s="139"/>
      <c r="K140" s="139"/>
      <c r="L140" s="139"/>
      <c r="M140" s="134"/>
      <c r="N140" s="134"/>
      <c r="O140" s="134"/>
      <c r="P140" s="134"/>
      <c r="Q140" s="134"/>
    </row>
    <row r="141" spans="1:18" s="39" customFormat="1" ht="18.5" x14ac:dyDescent="0.45">
      <c r="A141" s="130"/>
      <c r="B141" s="130"/>
      <c r="C141" s="130"/>
      <c r="D141" s="130"/>
      <c r="E141" s="130"/>
      <c r="F141" s="130"/>
      <c r="G141" s="130"/>
      <c r="H141" s="139"/>
      <c r="I141" s="139"/>
      <c r="J141" s="139"/>
      <c r="K141" s="139"/>
      <c r="L141" s="139"/>
      <c r="M141" s="134"/>
      <c r="N141" s="134"/>
      <c r="O141" s="134"/>
      <c r="P141" s="134"/>
      <c r="Q141" s="134"/>
    </row>
    <row r="142" spans="1:18" s="39" customFormat="1" ht="18.5" x14ac:dyDescent="0.45">
      <c r="A142" s="130"/>
      <c r="B142" s="130"/>
      <c r="C142" s="130"/>
      <c r="D142" s="135"/>
      <c r="E142" s="130"/>
      <c r="F142" s="130"/>
      <c r="G142" s="130"/>
      <c r="H142" s="137"/>
      <c r="I142" s="137"/>
      <c r="J142" s="137"/>
      <c r="K142" s="137"/>
      <c r="L142" s="137"/>
      <c r="M142" s="139"/>
      <c r="N142" s="134"/>
      <c r="O142" s="134"/>
      <c r="P142" s="200"/>
      <c r="Q142" s="134"/>
      <c r="R142" s="173"/>
    </row>
    <row r="143" spans="1:18" s="39" customFormat="1" ht="18.5" x14ac:dyDescent="0.45">
      <c r="A143" s="130"/>
      <c r="B143" s="130"/>
      <c r="C143" s="130"/>
      <c r="D143" s="130"/>
      <c r="E143" s="130"/>
      <c r="F143" s="130"/>
      <c r="G143" s="130"/>
      <c r="H143" s="201"/>
      <c r="I143" s="202"/>
      <c r="J143" s="202"/>
      <c r="K143" s="202"/>
      <c r="L143" s="202"/>
      <c r="M143" s="202"/>
      <c r="N143" s="202"/>
      <c r="O143" s="134"/>
      <c r="P143" s="134"/>
      <c r="Q143" s="134"/>
      <c r="R143" s="45">
        <f>(M147+M150)*E135</f>
        <v>0</v>
      </c>
    </row>
    <row r="144" spans="1:18" s="39" customFormat="1" ht="18.5" x14ac:dyDescent="0.45">
      <c r="A144" s="130"/>
      <c r="B144" s="130"/>
      <c r="C144" s="130"/>
      <c r="D144" s="130"/>
      <c r="E144" s="130"/>
      <c r="F144" s="130"/>
      <c r="G144" s="130"/>
      <c r="H144" s="139"/>
      <c r="I144" s="203"/>
      <c r="J144" s="203"/>
      <c r="K144" s="203"/>
      <c r="L144" s="203"/>
      <c r="M144" s="204"/>
      <c r="N144" s="134"/>
      <c r="O144" s="134"/>
      <c r="P144" s="204"/>
      <c r="Q144" s="134"/>
      <c r="R144" s="165" t="e">
        <f>M153*(1+E136)/(E137-E136)</f>
        <v>#DIV/0!</v>
      </c>
    </row>
    <row r="145" spans="1:18" s="39" customFormat="1" ht="18.5" x14ac:dyDescent="0.45">
      <c r="A145" s="130"/>
      <c r="B145" s="130"/>
      <c r="C145" s="130"/>
      <c r="D145" s="130"/>
      <c r="E145" s="130"/>
      <c r="F145" s="130"/>
      <c r="G145" s="130"/>
      <c r="H145" s="139"/>
      <c r="I145" s="151"/>
      <c r="J145" s="151"/>
      <c r="K145" s="151"/>
      <c r="L145" s="151"/>
      <c r="M145" s="151"/>
      <c r="N145" s="205"/>
      <c r="O145" s="134"/>
      <c r="P145" s="204"/>
      <c r="Q145" s="134"/>
      <c r="R145" s="40" t="e">
        <f>AVERAGE(R143:R144)</f>
        <v>#DIV/0!</v>
      </c>
    </row>
    <row r="146" spans="1:18" s="39" customFormat="1" ht="18.5" x14ac:dyDescent="0.45">
      <c r="A146" s="130"/>
      <c r="B146" s="130"/>
      <c r="C146" s="130"/>
      <c r="D146" s="130"/>
      <c r="E146" s="130"/>
      <c r="F146" s="130"/>
      <c r="G146" s="130"/>
      <c r="H146" s="139"/>
      <c r="I146" s="139"/>
      <c r="J146" s="139"/>
      <c r="K146" s="139"/>
      <c r="L146" s="139"/>
      <c r="M146" s="134"/>
      <c r="N146" s="134"/>
      <c r="O146" s="134"/>
      <c r="P146" s="134"/>
      <c r="Q146" s="134"/>
    </row>
    <row r="147" spans="1:18" s="39" customFormat="1" ht="18.5" x14ac:dyDescent="0.45">
      <c r="A147" s="130"/>
      <c r="B147" s="130"/>
      <c r="C147" s="130"/>
      <c r="D147" s="130"/>
      <c r="E147" s="130"/>
      <c r="F147" s="130"/>
      <c r="G147" s="130"/>
      <c r="H147" s="139"/>
      <c r="I147" s="139"/>
      <c r="J147" s="139"/>
      <c r="K147" s="139"/>
      <c r="L147" s="139"/>
      <c r="M147" s="139"/>
      <c r="N147" s="134"/>
      <c r="O147" s="134"/>
      <c r="P147" s="134"/>
      <c r="Q147" s="134"/>
    </row>
    <row r="148" spans="1:18" s="39" customFormat="1" ht="18.5" x14ac:dyDescent="0.45">
      <c r="A148" s="130"/>
      <c r="B148" s="130"/>
      <c r="C148" s="130"/>
      <c r="D148" s="130"/>
      <c r="E148" s="130"/>
      <c r="F148" s="130"/>
      <c r="G148" s="130"/>
      <c r="H148" s="139"/>
      <c r="I148" s="139"/>
      <c r="J148" s="139"/>
      <c r="K148" s="139"/>
      <c r="L148" s="139"/>
      <c r="M148" s="139"/>
      <c r="N148" s="134"/>
      <c r="O148" s="134"/>
      <c r="P148" s="134"/>
      <c r="Q148" s="134"/>
    </row>
    <row r="149" spans="1:18" s="39" customFormat="1" ht="18.5" x14ac:dyDescent="0.45">
      <c r="A149" s="130"/>
      <c r="B149" s="130"/>
      <c r="C149" s="130"/>
      <c r="D149" s="130"/>
      <c r="E149" s="130"/>
      <c r="F149" s="130"/>
      <c r="G149" s="130"/>
      <c r="H149" s="139"/>
      <c r="I149" s="139"/>
      <c r="J149" s="139"/>
      <c r="K149" s="139"/>
      <c r="L149" s="139"/>
      <c r="M149" s="139"/>
      <c r="N149" s="134"/>
      <c r="O149" s="134"/>
      <c r="P149" s="134"/>
      <c r="Q149" s="134"/>
    </row>
    <row r="150" spans="1:18" s="39" customFormat="1" ht="18.5" x14ac:dyDescent="0.45">
      <c r="A150" s="130"/>
      <c r="B150" s="130"/>
      <c r="C150" s="130"/>
      <c r="D150" s="130"/>
      <c r="E150" s="130"/>
      <c r="F150" s="130"/>
      <c r="G150" s="130"/>
      <c r="H150" s="139"/>
      <c r="I150" s="139"/>
      <c r="J150" s="139"/>
      <c r="K150" s="139"/>
      <c r="L150" s="139"/>
      <c r="M150" s="139"/>
      <c r="N150" s="134"/>
      <c r="O150" s="134"/>
      <c r="P150" s="134"/>
      <c r="Q150" s="134"/>
    </row>
    <row r="151" spans="1:18" s="39" customFormat="1" ht="18.5" x14ac:dyDescent="0.45">
      <c r="A151" s="130"/>
      <c r="B151" s="130"/>
      <c r="C151" s="130"/>
      <c r="D151" s="130"/>
      <c r="E151" s="130"/>
      <c r="F151" s="130"/>
      <c r="G151" s="130"/>
      <c r="H151" s="139"/>
      <c r="I151" s="139"/>
      <c r="J151" s="139"/>
      <c r="K151" s="139"/>
      <c r="L151" s="139"/>
      <c r="M151" s="139"/>
      <c r="N151" s="134"/>
      <c r="O151" s="134"/>
      <c r="P151" s="134"/>
      <c r="Q151" s="134"/>
    </row>
    <row r="152" spans="1:18" s="39" customFormat="1" ht="18.5" x14ac:dyDescent="0.45">
      <c r="A152" s="130"/>
      <c r="B152" s="130"/>
      <c r="C152" s="130"/>
      <c r="D152" s="130"/>
      <c r="E152" s="130"/>
      <c r="F152" s="130"/>
      <c r="G152" s="130"/>
      <c r="H152" s="139"/>
      <c r="I152" s="139"/>
      <c r="J152" s="139"/>
      <c r="K152" s="139"/>
      <c r="L152" s="139"/>
      <c r="M152" s="139"/>
      <c r="N152" s="134"/>
      <c r="O152" s="134"/>
      <c r="P152" s="134"/>
      <c r="Q152" s="134"/>
    </row>
    <row r="153" spans="1:18" s="39" customFormat="1" ht="18.5" x14ac:dyDescent="0.45">
      <c r="A153" s="130"/>
      <c r="B153" s="130"/>
      <c r="C153" s="130"/>
      <c r="D153" s="135"/>
      <c r="E153" s="135"/>
      <c r="F153" s="135"/>
      <c r="G153" s="135"/>
      <c r="H153" s="137"/>
      <c r="I153" s="137"/>
      <c r="J153" s="137"/>
      <c r="K153" s="137"/>
      <c r="L153" s="137"/>
      <c r="M153" s="137"/>
      <c r="N153" s="133"/>
      <c r="O153" s="134"/>
      <c r="P153" s="134"/>
      <c r="Q153" s="134"/>
    </row>
    <row r="154" spans="1:18" s="39" customFormat="1" ht="18.5" x14ac:dyDescent="0.45">
      <c r="A154" s="130"/>
      <c r="B154" s="130"/>
      <c r="C154" s="130"/>
      <c r="D154" s="130"/>
      <c r="E154" s="130"/>
      <c r="F154" s="130"/>
      <c r="G154" s="130"/>
      <c r="H154" s="139"/>
      <c r="I154" s="139"/>
      <c r="J154" s="139"/>
      <c r="K154" s="139"/>
      <c r="L154" s="139"/>
      <c r="M154" s="130"/>
      <c r="N154" s="134"/>
      <c r="O154" s="134"/>
      <c r="P154" s="134"/>
      <c r="Q154" s="134"/>
    </row>
    <row r="155" spans="1:18" s="39" customFormat="1" ht="18.5" x14ac:dyDescent="0.45">
      <c r="A155" s="130"/>
      <c r="B155" s="130"/>
      <c r="C155" s="130"/>
      <c r="D155" s="135"/>
      <c r="E155" s="135"/>
      <c r="F155" s="135"/>
      <c r="G155" s="135"/>
      <c r="H155" s="137"/>
      <c r="I155" s="137"/>
      <c r="J155" s="137"/>
      <c r="K155" s="137"/>
      <c r="L155" s="137"/>
      <c r="M155" s="137"/>
      <c r="N155" s="137"/>
      <c r="O155" s="134"/>
      <c r="P155" s="134"/>
      <c r="Q155" s="134"/>
    </row>
    <row r="156" spans="1:18" s="39" customFormat="1" ht="18.5" x14ac:dyDescent="0.45">
      <c r="A156" s="130"/>
      <c r="B156" s="130"/>
      <c r="C156" s="130"/>
      <c r="D156" s="130"/>
      <c r="E156" s="130"/>
      <c r="F156" s="130"/>
      <c r="G156" s="130"/>
      <c r="H156" s="139"/>
      <c r="I156" s="139"/>
      <c r="J156" s="139"/>
      <c r="K156" s="139"/>
      <c r="L156" s="139"/>
      <c r="M156" s="130"/>
      <c r="N156" s="134"/>
      <c r="O156" s="134"/>
      <c r="P156" s="134"/>
      <c r="Q156" s="134"/>
    </row>
    <row r="157" spans="1:18" s="39" customFormat="1" ht="18.5" x14ac:dyDescent="0.45">
      <c r="A157" s="130"/>
      <c r="B157" s="130"/>
      <c r="C157" s="130"/>
      <c r="D157" s="130"/>
      <c r="E157" s="130"/>
      <c r="F157" s="130"/>
      <c r="G157" s="130"/>
      <c r="H157" s="139"/>
      <c r="I157" s="139"/>
      <c r="J157" s="139"/>
      <c r="K157" s="139"/>
      <c r="L157" s="139"/>
      <c r="M157" s="130"/>
      <c r="N157" s="134"/>
      <c r="O157" s="134"/>
      <c r="P157" s="134"/>
      <c r="Q157" s="134"/>
    </row>
    <row r="158" spans="1:18" s="39" customFormat="1" ht="18.5" x14ac:dyDescent="0.45">
      <c r="A158" s="130"/>
      <c r="B158" s="130"/>
      <c r="C158" s="130"/>
      <c r="D158" s="130"/>
      <c r="E158" s="130"/>
      <c r="F158" s="130"/>
      <c r="G158" s="130"/>
      <c r="H158" s="139"/>
      <c r="I158" s="139"/>
      <c r="J158" s="139"/>
      <c r="K158" s="139"/>
      <c r="L158" s="139"/>
      <c r="M158" s="130"/>
      <c r="N158" s="134"/>
      <c r="O158" s="134"/>
      <c r="P158" s="134"/>
      <c r="Q158" s="134"/>
    </row>
    <row r="159" spans="1:18" s="39" customFormat="1" ht="18.5" x14ac:dyDescent="0.45">
      <c r="A159" s="130"/>
      <c r="B159" s="130"/>
      <c r="C159" s="130"/>
      <c r="D159" s="130"/>
      <c r="E159" s="130"/>
      <c r="F159" s="130"/>
      <c r="G159" s="130"/>
      <c r="H159" s="139"/>
      <c r="I159" s="139"/>
      <c r="J159" s="139"/>
      <c r="K159" s="139"/>
      <c r="L159" s="139"/>
      <c r="M159" s="134"/>
      <c r="N159" s="134"/>
      <c r="O159" s="134"/>
      <c r="P159" s="134"/>
      <c r="Q159" s="134"/>
    </row>
    <row r="160" spans="1:18" s="39" customFormat="1" ht="18.5" x14ac:dyDescent="0.45">
      <c r="A160" s="130"/>
      <c r="B160" s="130"/>
      <c r="C160" s="130"/>
      <c r="D160" s="135"/>
      <c r="E160" s="130"/>
      <c r="F160" s="130"/>
      <c r="G160" s="130"/>
      <c r="H160" s="139"/>
      <c r="I160" s="137"/>
      <c r="J160" s="139"/>
      <c r="K160" s="139"/>
      <c r="L160" s="139"/>
      <c r="M160" s="137"/>
      <c r="N160" s="139"/>
      <c r="O160" s="139"/>
      <c r="P160" s="134"/>
      <c r="Q160" s="134"/>
    </row>
    <row r="161" spans="1:17" s="39" customFormat="1" ht="18.5" x14ac:dyDescent="0.45">
      <c r="A161" s="130"/>
      <c r="B161" s="130"/>
      <c r="C161" s="130"/>
      <c r="D161" s="130"/>
      <c r="E161" s="130"/>
      <c r="F161" s="137"/>
      <c r="G161" s="130"/>
      <c r="H161" s="139"/>
      <c r="I161" s="139"/>
      <c r="J161" s="139"/>
      <c r="K161" s="139"/>
      <c r="L161" s="139"/>
      <c r="M161" s="139"/>
      <c r="N161" s="139"/>
      <c r="O161" s="139"/>
      <c r="P161" s="134"/>
      <c r="Q161" s="134"/>
    </row>
    <row r="162" spans="1:17" s="39" customFormat="1" ht="18.5" x14ac:dyDescent="0.45">
      <c r="A162" s="130"/>
      <c r="B162" s="130"/>
      <c r="C162" s="130"/>
      <c r="D162" s="130"/>
      <c r="E162" s="130"/>
      <c r="F162" s="137"/>
      <c r="G162" s="130"/>
      <c r="H162" s="139"/>
      <c r="I162" s="130"/>
      <c r="J162" s="130"/>
      <c r="K162" s="137"/>
      <c r="L162" s="139"/>
      <c r="M162" s="130"/>
      <c r="N162" s="130"/>
      <c r="O162" s="137"/>
      <c r="P162" s="134"/>
      <c r="Q162" s="134"/>
    </row>
    <row r="163" spans="1:17" s="39" customFormat="1" ht="18.5" x14ac:dyDescent="0.45">
      <c r="A163" s="130"/>
      <c r="B163" s="130"/>
      <c r="C163" s="130"/>
      <c r="D163" s="130"/>
      <c r="E163" s="130"/>
      <c r="F163" s="137"/>
      <c r="G163" s="130"/>
      <c r="H163" s="139"/>
      <c r="I163" s="130"/>
      <c r="J163" s="139"/>
      <c r="K163" s="139"/>
      <c r="L163" s="139"/>
      <c r="M163" s="130"/>
      <c r="N163" s="139"/>
      <c r="O163" s="206"/>
      <c r="P163" s="134"/>
      <c r="Q163" s="134"/>
    </row>
    <row r="164" spans="1:17" s="39" customFormat="1" ht="18.5" x14ac:dyDescent="0.45">
      <c r="A164" s="130"/>
      <c r="B164" s="130"/>
      <c r="C164" s="130"/>
      <c r="D164" s="130"/>
      <c r="E164" s="130"/>
      <c r="F164" s="137"/>
      <c r="G164" s="130"/>
      <c r="H164" s="139"/>
      <c r="I164" s="130"/>
      <c r="J164" s="139"/>
      <c r="K164" s="139"/>
      <c r="L164" s="139"/>
      <c r="M164" s="130"/>
      <c r="N164" s="139"/>
      <c r="O164" s="139"/>
      <c r="P164" s="134"/>
      <c r="Q164" s="134"/>
    </row>
    <row r="165" spans="1:17" s="39" customFormat="1" ht="18.5" x14ac:dyDescent="0.45">
      <c r="A165" s="130"/>
      <c r="B165" s="130"/>
      <c r="C165" s="130"/>
      <c r="D165" s="130"/>
      <c r="E165" s="130"/>
      <c r="F165" s="139"/>
      <c r="G165" s="130"/>
      <c r="H165" s="139"/>
      <c r="I165" s="139"/>
      <c r="J165" s="139"/>
      <c r="K165" s="139"/>
      <c r="L165" s="139"/>
      <c r="M165" s="139"/>
      <c r="N165" s="139"/>
      <c r="O165" s="139"/>
      <c r="P165" s="134"/>
      <c r="Q165" s="134"/>
    </row>
    <row r="166" spans="1:17" s="39" customFormat="1" ht="18.5" x14ac:dyDescent="0.45">
      <c r="A166" s="130"/>
      <c r="B166" s="130"/>
      <c r="C166" s="130"/>
      <c r="D166" s="130"/>
      <c r="E166" s="130"/>
      <c r="F166" s="130"/>
      <c r="G166" s="130"/>
      <c r="H166" s="139"/>
      <c r="I166" s="139"/>
      <c r="J166" s="139"/>
      <c r="K166" s="139"/>
      <c r="L166" s="139"/>
      <c r="M166" s="139"/>
      <c r="N166" s="139"/>
      <c r="O166" s="139"/>
      <c r="P166" s="134"/>
      <c r="Q166" s="134"/>
    </row>
    <row r="167" spans="1:17" s="39" customFormat="1" ht="18.5" x14ac:dyDescent="0.45">
      <c r="A167" s="130"/>
      <c r="B167" s="130"/>
      <c r="C167" s="130"/>
      <c r="D167" s="130"/>
      <c r="E167" s="130"/>
      <c r="F167" s="151"/>
      <c r="G167" s="130"/>
      <c r="H167" s="139"/>
      <c r="I167" s="130"/>
      <c r="J167" s="139"/>
      <c r="K167" s="139"/>
      <c r="L167" s="139"/>
      <c r="M167" s="130"/>
      <c r="N167" s="139"/>
      <c r="O167" s="139"/>
      <c r="P167" s="134"/>
      <c r="Q167" s="134"/>
    </row>
    <row r="168" spans="1:17" s="39" customFormat="1" ht="18.5" x14ac:dyDescent="0.45">
      <c r="A168" s="130"/>
      <c r="B168" s="130"/>
      <c r="C168" s="130"/>
      <c r="D168" s="130"/>
      <c r="E168" s="130"/>
      <c r="F168" s="130"/>
      <c r="G168" s="130"/>
      <c r="H168" s="139"/>
      <c r="I168" s="139"/>
      <c r="J168" s="139"/>
      <c r="K168" s="139"/>
      <c r="L168" s="139"/>
      <c r="M168" s="134"/>
      <c r="N168" s="134"/>
      <c r="O168" s="134"/>
      <c r="P168" s="134"/>
      <c r="Q168" s="134"/>
    </row>
    <row r="169" spans="1:17" s="39" customFormat="1" ht="20.5" x14ac:dyDescent="0.45">
      <c r="A169" s="57"/>
      <c r="B169" s="57"/>
      <c r="C169" s="57"/>
      <c r="D169" s="57"/>
      <c r="E169" s="57"/>
      <c r="F169" s="57"/>
      <c r="G169" s="57"/>
      <c r="H169" s="57"/>
      <c r="I169" s="57"/>
      <c r="J169" s="57"/>
      <c r="K169" s="57"/>
      <c r="L169" s="57"/>
      <c r="M169" s="57"/>
      <c r="N169" s="57"/>
      <c r="O169" s="57"/>
      <c r="P169" s="57"/>
      <c r="Q169" s="57"/>
    </row>
    <row r="170" spans="1:17" s="39" customFormat="1" ht="18.5" x14ac:dyDescent="0.45">
      <c r="A170" s="130"/>
      <c r="B170" s="130"/>
      <c r="C170" s="130"/>
      <c r="D170" s="130"/>
      <c r="E170" s="130"/>
      <c r="F170" s="130"/>
      <c r="G170" s="130"/>
      <c r="H170" s="139"/>
      <c r="I170" s="139"/>
      <c r="J170" s="139"/>
      <c r="K170" s="139"/>
      <c r="L170" s="139"/>
      <c r="M170" s="134"/>
      <c r="N170" s="134"/>
      <c r="O170" s="134"/>
      <c r="P170" s="134"/>
      <c r="Q170" s="134"/>
    </row>
    <row r="171" spans="1:17" s="39" customFormat="1" ht="18.5" x14ac:dyDescent="0.45">
      <c r="A171" s="130"/>
      <c r="B171" s="130"/>
      <c r="C171" s="130"/>
      <c r="D171" s="130"/>
      <c r="E171" s="130"/>
      <c r="F171" s="130"/>
      <c r="G171" s="130"/>
      <c r="H171" s="234"/>
      <c r="I171" s="234"/>
      <c r="J171" s="234"/>
      <c r="K171" s="234"/>
      <c r="L171" s="234"/>
      <c r="M171" s="234"/>
      <c r="N171" s="234"/>
      <c r="O171" s="134"/>
      <c r="P171" s="134"/>
      <c r="Q171" s="134"/>
    </row>
    <row r="172" spans="1:17" s="39" customFormat="1" ht="18.5" x14ac:dyDescent="0.45">
      <c r="A172" s="130"/>
      <c r="B172" s="130"/>
      <c r="C172" s="130"/>
      <c r="D172" s="130"/>
      <c r="E172" s="130"/>
      <c r="F172" s="130"/>
      <c r="G172" s="130"/>
      <c r="H172" s="139"/>
      <c r="I172" s="139"/>
      <c r="J172" s="139"/>
      <c r="K172" s="139"/>
      <c r="L172" s="139"/>
      <c r="M172" s="134"/>
      <c r="N172" s="134"/>
      <c r="O172" s="134"/>
      <c r="P172" s="134"/>
      <c r="Q172" s="134"/>
    </row>
    <row r="173" spans="1:17" s="39" customFormat="1" ht="18.5" x14ac:dyDescent="0.45">
      <c r="A173" s="130"/>
      <c r="B173" s="130"/>
      <c r="C173" s="130"/>
      <c r="D173" s="130"/>
      <c r="E173" s="130"/>
      <c r="F173" s="130"/>
      <c r="G173" s="130"/>
      <c r="H173" s="139"/>
      <c r="I173" s="139"/>
      <c r="J173" s="207"/>
      <c r="K173" s="207"/>
      <c r="L173" s="207"/>
      <c r="M173" s="208"/>
      <c r="N173" s="208"/>
      <c r="O173" s="134"/>
      <c r="P173" s="134"/>
      <c r="Q173" s="134"/>
    </row>
    <row r="174" spans="1:17" s="39" customFormat="1" ht="18.5" x14ac:dyDescent="0.45">
      <c r="A174" s="130"/>
      <c r="B174" s="130"/>
      <c r="C174" s="130"/>
      <c r="D174" s="130"/>
      <c r="E174" s="130"/>
      <c r="F174" s="130"/>
      <c r="G174" s="130"/>
      <c r="H174" s="139"/>
      <c r="I174" s="209"/>
      <c r="J174" s="210"/>
      <c r="K174" s="210"/>
      <c r="L174" s="210"/>
      <c r="M174" s="210"/>
      <c r="N174" s="210"/>
      <c r="O174" s="134"/>
      <c r="P174" s="134"/>
      <c r="Q174" s="134"/>
    </row>
    <row r="175" spans="1:17" s="39" customFormat="1" ht="18.5" x14ac:dyDescent="0.45">
      <c r="A175" s="130"/>
      <c r="B175" s="130"/>
      <c r="C175" s="130"/>
      <c r="D175" s="130"/>
      <c r="E175" s="130"/>
      <c r="F175" s="130"/>
      <c r="G175" s="130"/>
      <c r="H175" s="235"/>
      <c r="I175" s="211"/>
      <c r="J175" s="139"/>
      <c r="K175" s="139"/>
      <c r="L175" s="139"/>
      <c r="M175" s="139"/>
      <c r="N175" s="139"/>
      <c r="O175" s="134"/>
      <c r="P175" s="134"/>
      <c r="Q175" s="134"/>
    </row>
    <row r="176" spans="1:17" s="39" customFormat="1" ht="18.5" x14ac:dyDescent="0.45">
      <c r="A176" s="130"/>
      <c r="B176" s="130"/>
      <c r="C176" s="130"/>
      <c r="D176" s="130"/>
      <c r="E176" s="130"/>
      <c r="F176" s="130"/>
      <c r="G176" s="130"/>
      <c r="H176" s="235"/>
      <c r="I176" s="211"/>
      <c r="J176" s="139"/>
      <c r="K176" s="139"/>
      <c r="L176" s="139"/>
      <c r="M176" s="139"/>
      <c r="N176" s="139"/>
      <c r="O176" s="134"/>
      <c r="P176" s="134"/>
      <c r="Q176" s="134"/>
    </row>
    <row r="177" spans="1:17" s="39" customFormat="1" ht="18.5" x14ac:dyDescent="0.45">
      <c r="A177" s="130"/>
      <c r="B177" s="130"/>
      <c r="C177" s="130"/>
      <c r="D177" s="130"/>
      <c r="E177" s="130"/>
      <c r="F177" s="130"/>
      <c r="G177" s="130"/>
      <c r="H177" s="235"/>
      <c r="I177" s="148"/>
      <c r="J177" s="139"/>
      <c r="K177" s="139"/>
      <c r="L177" s="139"/>
      <c r="M177" s="139"/>
      <c r="N177" s="139"/>
      <c r="O177" s="134"/>
      <c r="P177" s="134"/>
      <c r="Q177" s="134"/>
    </row>
    <row r="178" spans="1:17" s="39" customFormat="1" ht="18.5" x14ac:dyDescent="0.45">
      <c r="A178" s="130"/>
      <c r="B178" s="130"/>
      <c r="C178" s="130"/>
      <c r="D178" s="130"/>
      <c r="E178" s="130"/>
      <c r="F178" s="130"/>
      <c r="G178" s="130"/>
      <c r="H178" s="235"/>
      <c r="I178" s="212"/>
      <c r="J178" s="139"/>
      <c r="K178" s="139"/>
      <c r="L178" s="139"/>
      <c r="M178" s="139"/>
      <c r="N178" s="139"/>
      <c r="O178" s="134"/>
      <c r="P178" s="134"/>
      <c r="Q178" s="134"/>
    </row>
    <row r="179" spans="1:17" s="39" customFormat="1" ht="18.5" x14ac:dyDescent="0.45">
      <c r="A179" s="130"/>
      <c r="B179" s="130"/>
      <c r="C179" s="130"/>
      <c r="D179" s="130"/>
      <c r="E179" s="130"/>
      <c r="F179" s="130"/>
      <c r="G179" s="130"/>
      <c r="H179" s="235"/>
      <c r="I179" s="212"/>
      <c r="J179" s="139"/>
      <c r="K179" s="139"/>
      <c r="L179" s="139"/>
      <c r="M179" s="139"/>
      <c r="N179" s="139"/>
      <c r="O179" s="134"/>
      <c r="P179" s="134"/>
      <c r="Q179" s="134"/>
    </row>
    <row r="180" spans="1:17" s="39" customFormat="1" ht="18.5" x14ac:dyDescent="0.45">
      <c r="A180" s="130"/>
      <c r="B180" s="130"/>
      <c r="C180" s="130"/>
      <c r="D180" s="130"/>
      <c r="E180" s="130"/>
      <c r="F180" s="130"/>
      <c r="G180" s="130"/>
      <c r="H180" s="139"/>
      <c r="I180" s="139"/>
      <c r="J180" s="139"/>
      <c r="K180" s="139"/>
      <c r="L180" s="139"/>
      <c r="M180" s="134"/>
      <c r="N180" s="134"/>
      <c r="O180" s="134"/>
      <c r="P180" s="134"/>
      <c r="Q180" s="134"/>
    </row>
    <row r="181" spans="1:17" s="39" customFormat="1" ht="18.5" x14ac:dyDescent="0.45">
      <c r="A181" s="130"/>
      <c r="B181" s="130"/>
      <c r="C181" s="130"/>
      <c r="D181" s="130"/>
      <c r="E181" s="130"/>
      <c r="F181" s="130"/>
      <c r="G181" s="130"/>
      <c r="H181" s="139"/>
      <c r="I181" s="139"/>
      <c r="J181" s="139"/>
      <c r="K181" s="139"/>
      <c r="L181" s="139"/>
      <c r="M181" s="134"/>
      <c r="N181" s="134"/>
      <c r="O181" s="134"/>
      <c r="P181" s="134"/>
      <c r="Q181" s="134"/>
    </row>
    <row r="182" spans="1:17" s="39" customFormat="1" ht="18.5" x14ac:dyDescent="0.45">
      <c r="A182" s="130"/>
      <c r="B182" s="130"/>
      <c r="C182" s="130"/>
      <c r="D182" s="130"/>
      <c r="E182" s="130"/>
      <c r="F182" s="130"/>
      <c r="G182" s="130"/>
      <c r="H182" s="139"/>
      <c r="I182" s="139"/>
      <c r="J182" s="236"/>
      <c r="K182" s="236"/>
      <c r="L182" s="236"/>
      <c r="M182" s="236"/>
      <c r="N182" s="236"/>
      <c r="O182" s="134"/>
      <c r="P182" s="134"/>
      <c r="Q182" s="134"/>
    </row>
    <row r="183" spans="1:17" s="39" customFormat="1" ht="18.5" x14ac:dyDescent="0.45">
      <c r="A183" s="130"/>
      <c r="B183" s="130"/>
      <c r="C183" s="130"/>
      <c r="D183" s="130"/>
      <c r="E183" s="130"/>
      <c r="F183" s="130"/>
      <c r="G183" s="130"/>
      <c r="H183" s="139"/>
      <c r="I183" s="209"/>
      <c r="J183" s="148"/>
      <c r="K183" s="148"/>
      <c r="L183" s="148"/>
      <c r="M183" s="148"/>
      <c r="N183" s="148"/>
      <c r="O183" s="134"/>
      <c r="P183" s="134"/>
      <c r="Q183" s="134"/>
    </row>
    <row r="184" spans="1:17" s="39" customFormat="1" ht="18.5" x14ac:dyDescent="0.45">
      <c r="A184" s="130"/>
      <c r="B184" s="130"/>
      <c r="C184" s="130"/>
      <c r="D184" s="130"/>
      <c r="E184" s="130"/>
      <c r="F184" s="130"/>
      <c r="G184" s="130"/>
      <c r="H184" s="235"/>
      <c r="I184" s="211"/>
      <c r="J184" s="139"/>
      <c r="K184" s="139"/>
      <c r="L184" s="139"/>
      <c r="M184" s="139"/>
      <c r="N184" s="139"/>
      <c r="O184" s="134"/>
      <c r="P184" s="134"/>
      <c r="Q184" s="134"/>
    </row>
    <row r="185" spans="1:17" s="39" customFormat="1" ht="18.5" x14ac:dyDescent="0.45">
      <c r="A185" s="130"/>
      <c r="B185" s="130"/>
      <c r="C185" s="130"/>
      <c r="D185" s="130"/>
      <c r="E185" s="130"/>
      <c r="F185" s="130"/>
      <c r="G185" s="130"/>
      <c r="H185" s="235"/>
      <c r="I185" s="211"/>
      <c r="J185" s="139"/>
      <c r="K185" s="139"/>
      <c r="L185" s="139"/>
      <c r="M185" s="139"/>
      <c r="N185" s="139"/>
      <c r="O185" s="134"/>
      <c r="P185" s="134"/>
      <c r="Q185" s="134"/>
    </row>
    <row r="186" spans="1:17" s="39" customFormat="1" ht="18.5" x14ac:dyDescent="0.45">
      <c r="A186" s="130"/>
      <c r="B186" s="130"/>
      <c r="C186" s="130"/>
      <c r="D186" s="130"/>
      <c r="E186" s="130"/>
      <c r="F186" s="130"/>
      <c r="G186" s="130"/>
      <c r="H186" s="235"/>
      <c r="I186" s="148"/>
      <c r="J186" s="139"/>
      <c r="K186" s="139"/>
      <c r="L186" s="139"/>
      <c r="M186" s="139"/>
      <c r="N186" s="139"/>
      <c r="O186" s="134"/>
      <c r="P186" s="134"/>
      <c r="Q186" s="134"/>
    </row>
    <row r="187" spans="1:17" s="39" customFormat="1" ht="18.5" x14ac:dyDescent="0.45">
      <c r="A187" s="130"/>
      <c r="B187" s="130"/>
      <c r="C187" s="130"/>
      <c r="D187" s="130"/>
      <c r="E187" s="130"/>
      <c r="F187" s="130"/>
      <c r="G187" s="130"/>
      <c r="H187" s="235"/>
      <c r="I187" s="212"/>
      <c r="J187" s="139"/>
      <c r="K187" s="139"/>
      <c r="L187" s="139"/>
      <c r="M187" s="139"/>
      <c r="N187" s="139"/>
      <c r="O187" s="134"/>
      <c r="P187" s="134"/>
      <c r="Q187" s="134"/>
    </row>
    <row r="188" spans="1:17" s="39" customFormat="1" ht="18.5" x14ac:dyDescent="0.45">
      <c r="A188" s="130"/>
      <c r="B188" s="130"/>
      <c r="C188" s="130"/>
      <c r="D188" s="130"/>
      <c r="E188" s="130"/>
      <c r="F188" s="130"/>
      <c r="G188" s="130"/>
      <c r="H188" s="235"/>
      <c r="I188" s="212"/>
      <c r="J188" s="139"/>
      <c r="K188" s="139"/>
      <c r="L188" s="139"/>
      <c r="M188" s="139"/>
      <c r="N188" s="139"/>
      <c r="O188" s="134"/>
      <c r="P188" s="134"/>
      <c r="Q188" s="134"/>
    </row>
    <row r="189" spans="1:17" s="39" customFormat="1" ht="18.5" x14ac:dyDescent="0.45">
      <c r="A189" s="130"/>
      <c r="B189" s="130"/>
      <c r="C189" s="130"/>
      <c r="D189" s="130"/>
      <c r="E189" s="130"/>
      <c r="F189" s="130"/>
      <c r="G189" s="130"/>
      <c r="H189" s="139"/>
      <c r="I189" s="139"/>
      <c r="J189" s="139"/>
      <c r="K189" s="139"/>
      <c r="L189" s="139"/>
      <c r="M189" s="134"/>
      <c r="N189" s="134"/>
      <c r="O189" s="134"/>
      <c r="P189" s="134"/>
      <c r="Q189" s="134"/>
    </row>
    <row r="190" spans="1:17" s="39" customFormat="1" ht="18.5" x14ac:dyDescent="0.45">
      <c r="A190" s="130"/>
      <c r="B190" s="130"/>
      <c r="C190" s="130"/>
      <c r="D190" s="130"/>
      <c r="E190" s="130"/>
      <c r="F190" s="130"/>
      <c r="G190" s="130"/>
      <c r="H190" s="139"/>
      <c r="I190" s="139"/>
      <c r="J190" s="139"/>
      <c r="K190" s="139"/>
      <c r="L190" s="139"/>
      <c r="M190" s="134"/>
      <c r="N190" s="134"/>
      <c r="O190" s="134"/>
      <c r="P190" s="134"/>
      <c r="Q190" s="134"/>
    </row>
    <row r="191" spans="1:17" s="39" customFormat="1" ht="18.5" x14ac:dyDescent="0.45">
      <c r="A191" s="130"/>
      <c r="B191" s="130"/>
      <c r="C191" s="130"/>
      <c r="D191" s="130"/>
      <c r="E191" s="130"/>
      <c r="F191" s="130"/>
      <c r="G191" s="130"/>
      <c r="H191" s="139"/>
      <c r="I191" s="139"/>
      <c r="J191" s="139"/>
      <c r="K191" s="139"/>
      <c r="L191" s="139"/>
      <c r="M191" s="134"/>
      <c r="N191" s="134"/>
      <c r="O191" s="134"/>
      <c r="P191" s="134"/>
      <c r="Q191" s="134"/>
    </row>
    <row r="192" spans="1:17" s="39" customFormat="1" ht="18.5" x14ac:dyDescent="0.45">
      <c r="A192" s="130"/>
      <c r="B192" s="130"/>
      <c r="C192" s="130"/>
      <c r="D192" s="130"/>
      <c r="E192" s="130"/>
      <c r="F192" s="130"/>
      <c r="G192" s="130"/>
      <c r="H192" s="139"/>
      <c r="I192" s="139"/>
      <c r="J192" s="139"/>
      <c r="K192" s="139"/>
      <c r="L192" s="139"/>
      <c r="M192" s="134"/>
      <c r="N192" s="134"/>
      <c r="O192" s="134"/>
      <c r="P192" s="134"/>
      <c r="Q192" s="134"/>
    </row>
    <row r="193" spans="1:17" s="39" customFormat="1" ht="18.5" x14ac:dyDescent="0.45">
      <c r="A193" s="130"/>
      <c r="B193" s="130"/>
      <c r="C193" s="130"/>
      <c r="D193" s="130"/>
      <c r="E193" s="130"/>
      <c r="F193" s="130"/>
      <c r="G193" s="130"/>
      <c r="H193" s="139"/>
      <c r="I193" s="139"/>
      <c r="J193" s="139"/>
      <c r="K193" s="139"/>
      <c r="L193" s="139"/>
      <c r="M193" s="134"/>
      <c r="N193" s="134"/>
      <c r="O193" s="134"/>
      <c r="P193" s="134"/>
      <c r="Q193" s="134"/>
    </row>
    <row r="194" spans="1:17" s="39" customFormat="1" ht="18.5" x14ac:dyDescent="0.45">
      <c r="A194" s="130"/>
      <c r="B194" s="130"/>
      <c r="C194" s="130"/>
      <c r="D194" s="130"/>
      <c r="E194" s="130"/>
      <c r="F194" s="130"/>
      <c r="G194" s="130"/>
      <c r="H194" s="139"/>
      <c r="I194" s="139"/>
      <c r="J194" s="139"/>
      <c r="K194" s="139"/>
      <c r="L194" s="139"/>
      <c r="M194" s="134"/>
      <c r="N194" s="134"/>
      <c r="O194" s="134"/>
      <c r="P194" s="134"/>
      <c r="Q194" s="134"/>
    </row>
    <row r="195" spans="1:17" s="39" customFormat="1" ht="18.5" x14ac:dyDescent="0.45">
      <c r="A195" s="130"/>
      <c r="B195" s="130"/>
      <c r="C195" s="130"/>
      <c r="D195" s="130"/>
      <c r="E195" s="130"/>
      <c r="F195" s="130"/>
      <c r="G195" s="130"/>
      <c r="H195" s="139"/>
      <c r="I195" s="139"/>
      <c r="J195" s="139"/>
      <c r="K195" s="139"/>
      <c r="L195" s="139"/>
      <c r="M195" s="134"/>
      <c r="N195" s="134"/>
      <c r="O195" s="134"/>
      <c r="P195" s="134"/>
      <c r="Q195" s="134"/>
    </row>
    <row r="196" spans="1:17" s="39" customFormat="1" ht="18.5" x14ac:dyDescent="0.45">
      <c r="A196" s="130"/>
      <c r="B196" s="130"/>
      <c r="C196" s="130"/>
      <c r="D196" s="130"/>
      <c r="E196" s="130"/>
      <c r="F196" s="130"/>
      <c r="G196" s="130"/>
      <c r="H196" s="139"/>
      <c r="I196" s="139"/>
      <c r="J196" s="139"/>
      <c r="K196" s="139"/>
      <c r="L196" s="139"/>
      <c r="M196" s="134"/>
      <c r="N196" s="134"/>
      <c r="O196" s="134"/>
      <c r="P196" s="134"/>
      <c r="Q196" s="134"/>
    </row>
    <row r="197" spans="1:17" s="39" customFormat="1" ht="18.5" x14ac:dyDescent="0.45">
      <c r="A197" s="130"/>
      <c r="B197" s="130"/>
      <c r="C197" s="130"/>
      <c r="D197" s="130"/>
      <c r="E197" s="130"/>
      <c r="F197" s="130"/>
      <c r="G197" s="130"/>
      <c r="H197" s="139"/>
      <c r="I197" s="139"/>
      <c r="J197" s="139"/>
      <c r="K197" s="139"/>
      <c r="L197" s="139"/>
      <c r="M197" s="134"/>
      <c r="N197" s="134"/>
      <c r="O197" s="134"/>
      <c r="P197" s="134"/>
      <c r="Q197" s="134"/>
    </row>
    <row r="198" spans="1:17" s="39" customFormat="1" ht="18.5" x14ac:dyDescent="0.45">
      <c r="A198" s="130"/>
      <c r="B198" s="130"/>
      <c r="C198" s="130"/>
      <c r="D198" s="130"/>
      <c r="E198" s="130"/>
      <c r="F198" s="130"/>
      <c r="G198" s="130"/>
      <c r="H198" s="139"/>
      <c r="I198" s="139"/>
      <c r="J198" s="139"/>
      <c r="K198" s="139"/>
      <c r="L198" s="139"/>
      <c r="M198" s="134"/>
      <c r="N198" s="134"/>
      <c r="O198" s="134"/>
      <c r="P198" s="134"/>
      <c r="Q198" s="134"/>
    </row>
    <row r="199" spans="1:17" s="39" customFormat="1" ht="18.5" x14ac:dyDescent="0.45">
      <c r="A199" s="130"/>
      <c r="B199" s="130"/>
      <c r="C199" s="130"/>
      <c r="D199" s="130"/>
      <c r="E199" s="130"/>
      <c r="F199" s="130"/>
      <c r="G199" s="130"/>
      <c r="H199" s="139"/>
      <c r="I199" s="139"/>
      <c r="J199" s="139"/>
      <c r="K199" s="139"/>
      <c r="L199" s="139"/>
      <c r="M199" s="134"/>
      <c r="N199" s="134"/>
      <c r="O199" s="134"/>
      <c r="P199" s="134"/>
      <c r="Q199" s="134"/>
    </row>
    <row r="200" spans="1:17" s="39" customFormat="1" ht="18.5" x14ac:dyDescent="0.45">
      <c r="A200" s="130"/>
      <c r="B200" s="130"/>
      <c r="C200" s="130"/>
      <c r="D200" s="130"/>
      <c r="E200" s="130"/>
      <c r="F200" s="130"/>
      <c r="G200" s="130"/>
      <c r="H200" s="139"/>
      <c r="I200" s="139"/>
      <c r="J200" s="139"/>
      <c r="K200" s="139"/>
      <c r="L200" s="139"/>
      <c r="M200" s="134"/>
      <c r="N200" s="134"/>
      <c r="O200" s="134"/>
      <c r="P200" s="134"/>
      <c r="Q200" s="134"/>
    </row>
    <row r="201" spans="1:17" s="39" customFormat="1" ht="18.5" x14ac:dyDescent="0.45">
      <c r="A201" s="130"/>
      <c r="B201" s="130"/>
      <c r="C201" s="130"/>
      <c r="D201" s="130"/>
      <c r="E201" s="130"/>
      <c r="F201" s="130"/>
      <c r="G201" s="130"/>
      <c r="H201" s="139"/>
      <c r="I201" s="139"/>
      <c r="J201" s="139"/>
      <c r="K201" s="139"/>
      <c r="L201" s="139"/>
      <c r="M201" s="134"/>
      <c r="N201" s="134"/>
      <c r="O201" s="134"/>
      <c r="P201" s="134"/>
      <c r="Q201" s="134"/>
    </row>
    <row r="202" spans="1:17" s="39" customFormat="1" ht="18.5" x14ac:dyDescent="0.45">
      <c r="A202" s="130"/>
      <c r="B202" s="130"/>
      <c r="C202" s="130"/>
      <c r="D202" s="130"/>
      <c r="E202" s="130"/>
      <c r="F202" s="130"/>
      <c r="G202" s="130"/>
      <c r="H202" s="139"/>
      <c r="I202" s="139"/>
      <c r="J202" s="139"/>
      <c r="K202" s="139"/>
      <c r="L202" s="139"/>
      <c r="M202" s="134"/>
      <c r="N202" s="134"/>
      <c r="O202" s="134"/>
      <c r="P202" s="134"/>
      <c r="Q202" s="134"/>
    </row>
    <row r="203" spans="1:17" s="39" customFormat="1" ht="18.5" x14ac:dyDescent="0.45">
      <c r="A203" s="130"/>
      <c r="B203" s="130"/>
      <c r="C203" s="130"/>
      <c r="D203" s="130"/>
      <c r="E203" s="130"/>
      <c r="F203" s="130"/>
      <c r="G203" s="130"/>
      <c r="H203" s="139"/>
      <c r="I203" s="139"/>
      <c r="J203" s="139"/>
      <c r="K203" s="139"/>
      <c r="L203" s="139"/>
      <c r="M203" s="134"/>
      <c r="N203" s="134"/>
      <c r="O203" s="134"/>
      <c r="P203" s="134"/>
      <c r="Q203" s="134"/>
    </row>
    <row r="204" spans="1:17" s="39" customFormat="1" ht="18.5" x14ac:dyDescent="0.45">
      <c r="A204" s="130"/>
      <c r="B204" s="130"/>
      <c r="C204" s="130"/>
      <c r="D204" s="130"/>
      <c r="E204" s="130"/>
      <c r="F204" s="130"/>
      <c r="G204" s="130"/>
      <c r="H204" s="139"/>
      <c r="I204" s="139"/>
      <c r="J204" s="139"/>
      <c r="K204" s="139"/>
      <c r="L204" s="139"/>
      <c r="M204" s="134"/>
      <c r="N204" s="134"/>
      <c r="O204" s="134"/>
      <c r="P204" s="134"/>
      <c r="Q204" s="134"/>
    </row>
    <row r="205" spans="1:17" s="39" customFormat="1" ht="18.5" x14ac:dyDescent="0.45">
      <c r="A205" s="130"/>
      <c r="B205" s="130"/>
      <c r="C205" s="130"/>
      <c r="D205" s="130"/>
      <c r="E205" s="130"/>
      <c r="F205" s="130"/>
      <c r="G205" s="130"/>
      <c r="H205" s="139"/>
      <c r="I205" s="139"/>
      <c r="J205" s="139"/>
      <c r="K205" s="139"/>
      <c r="L205" s="139"/>
      <c r="M205" s="134"/>
      <c r="N205" s="134"/>
      <c r="O205" s="134"/>
      <c r="P205" s="134"/>
      <c r="Q205" s="134"/>
    </row>
    <row r="206" spans="1:17" s="39" customFormat="1" ht="18.5" x14ac:dyDescent="0.45">
      <c r="A206" s="130"/>
      <c r="B206" s="130"/>
      <c r="C206" s="130"/>
      <c r="D206" s="130"/>
      <c r="E206" s="130"/>
      <c r="F206" s="130"/>
      <c r="G206" s="130"/>
      <c r="H206" s="139"/>
      <c r="I206" s="139"/>
      <c r="J206" s="139"/>
      <c r="K206" s="139"/>
      <c r="L206" s="139"/>
      <c r="M206" s="134"/>
      <c r="N206" s="134"/>
      <c r="O206" s="134"/>
      <c r="P206" s="134"/>
      <c r="Q206" s="134"/>
    </row>
    <row r="207" spans="1:17" s="39" customFormat="1" ht="18.5" x14ac:dyDescent="0.45">
      <c r="A207" s="130"/>
      <c r="B207" s="130"/>
      <c r="C207" s="130"/>
      <c r="D207" s="130"/>
      <c r="E207" s="130"/>
      <c r="F207" s="130"/>
      <c r="G207" s="130"/>
      <c r="H207" s="139"/>
      <c r="I207" s="139"/>
      <c r="J207" s="139"/>
      <c r="K207" s="139"/>
      <c r="L207" s="139"/>
      <c r="M207" s="134"/>
      <c r="N207" s="134"/>
      <c r="O207" s="134"/>
      <c r="P207" s="134"/>
      <c r="Q207" s="134"/>
    </row>
    <row r="208" spans="1:17" s="39" customFormat="1" ht="18.5" x14ac:dyDescent="0.45">
      <c r="A208" s="130"/>
      <c r="B208" s="130"/>
      <c r="C208" s="130"/>
      <c r="D208" s="130"/>
      <c r="E208" s="130"/>
      <c r="F208" s="130"/>
      <c r="G208" s="130"/>
      <c r="H208" s="139"/>
      <c r="I208" s="139"/>
      <c r="J208" s="139"/>
      <c r="K208" s="139"/>
      <c r="L208" s="139"/>
      <c r="M208" s="134"/>
      <c r="N208" s="134"/>
      <c r="O208" s="134"/>
      <c r="P208" s="134"/>
      <c r="Q208" s="134"/>
    </row>
    <row r="209" spans="1:17" s="39" customFormat="1" ht="18.5" x14ac:dyDescent="0.45">
      <c r="A209" s="130"/>
      <c r="B209" s="130"/>
      <c r="C209" s="130"/>
      <c r="D209" s="130"/>
      <c r="E209" s="130"/>
      <c r="F209" s="130"/>
      <c r="G209" s="130"/>
      <c r="H209" s="139"/>
      <c r="I209" s="139"/>
      <c r="J209" s="139"/>
      <c r="K209" s="139"/>
      <c r="L209" s="139"/>
      <c r="M209" s="134"/>
      <c r="N209" s="134"/>
      <c r="O209" s="134"/>
      <c r="P209" s="134"/>
      <c r="Q209" s="134"/>
    </row>
    <row r="210" spans="1:17" s="39" customFormat="1" ht="18.5" x14ac:dyDescent="0.45">
      <c r="A210" s="134"/>
      <c r="B210" s="134"/>
      <c r="C210" s="134"/>
      <c r="D210" s="134"/>
      <c r="E210" s="134"/>
      <c r="F210" s="134"/>
      <c r="G210" s="134"/>
      <c r="H210" s="139"/>
      <c r="I210" s="139"/>
      <c r="J210" s="139"/>
      <c r="K210" s="139"/>
      <c r="L210" s="139"/>
      <c r="M210" s="134"/>
      <c r="N210" s="134"/>
      <c r="O210" s="134"/>
      <c r="P210" s="134"/>
      <c r="Q210" s="134"/>
    </row>
    <row r="211" spans="1:17" s="39" customFormat="1" ht="18.5" x14ac:dyDescent="0.45">
      <c r="A211" s="134"/>
      <c r="B211" s="134"/>
      <c r="C211" s="134"/>
      <c r="D211" s="134"/>
      <c r="E211" s="134"/>
      <c r="F211" s="134"/>
      <c r="G211" s="134"/>
      <c r="H211" s="139"/>
      <c r="I211" s="139"/>
      <c r="J211" s="139"/>
      <c r="K211" s="139"/>
      <c r="L211" s="139"/>
      <c r="M211" s="134"/>
      <c r="N211" s="134"/>
      <c r="O211" s="134"/>
      <c r="P211" s="134"/>
      <c r="Q211" s="134"/>
    </row>
    <row r="212" spans="1:17" s="39" customFormat="1" ht="18.5" x14ac:dyDescent="0.45">
      <c r="A212" s="134"/>
      <c r="B212" s="134"/>
      <c r="C212" s="134"/>
      <c r="D212" s="134"/>
      <c r="E212" s="134"/>
      <c r="F212" s="134"/>
      <c r="G212" s="134"/>
      <c r="H212" s="139"/>
      <c r="I212" s="139"/>
      <c r="J212" s="139"/>
      <c r="K212" s="139"/>
      <c r="L212" s="139"/>
      <c r="M212" s="134"/>
      <c r="N212" s="134"/>
      <c r="O212" s="134"/>
      <c r="P212" s="134"/>
      <c r="Q212" s="134"/>
    </row>
    <row r="213" spans="1:17" s="39" customFormat="1" ht="18.5" x14ac:dyDescent="0.45">
      <c r="A213" s="134"/>
      <c r="B213" s="134"/>
      <c r="C213" s="134"/>
      <c r="D213" s="134"/>
      <c r="E213" s="134"/>
      <c r="F213" s="134"/>
      <c r="G213" s="134"/>
      <c r="H213" s="139"/>
      <c r="I213" s="139"/>
      <c r="J213" s="139"/>
      <c r="K213" s="139"/>
      <c r="L213" s="139"/>
      <c r="M213" s="134"/>
      <c r="N213" s="134"/>
      <c r="O213" s="134"/>
      <c r="P213" s="134"/>
      <c r="Q213" s="134"/>
    </row>
    <row r="214" spans="1:17" s="39" customFormat="1" ht="18.5" x14ac:dyDescent="0.45">
      <c r="A214" s="134"/>
      <c r="B214" s="134"/>
      <c r="C214" s="134"/>
      <c r="D214" s="134"/>
      <c r="E214" s="134"/>
      <c r="F214" s="134"/>
      <c r="G214" s="134"/>
      <c r="H214" s="139"/>
      <c r="I214" s="139"/>
      <c r="J214" s="139"/>
      <c r="K214" s="139"/>
      <c r="L214" s="139"/>
      <c r="M214" s="134"/>
      <c r="N214" s="134"/>
      <c r="O214" s="134"/>
      <c r="P214" s="134"/>
      <c r="Q214" s="134"/>
    </row>
    <row r="215" spans="1:17" s="39" customFormat="1" ht="18.5" x14ac:dyDescent="0.45">
      <c r="A215" s="134"/>
      <c r="B215" s="134"/>
      <c r="C215" s="134"/>
      <c r="D215" s="134"/>
      <c r="E215" s="134"/>
      <c r="F215" s="134"/>
      <c r="G215" s="134"/>
      <c r="H215" s="139"/>
      <c r="I215" s="139"/>
      <c r="J215" s="139"/>
      <c r="K215" s="139"/>
      <c r="L215" s="139"/>
      <c r="M215" s="134"/>
      <c r="N215" s="134"/>
      <c r="O215" s="134"/>
      <c r="P215" s="134"/>
      <c r="Q215" s="134"/>
    </row>
    <row r="216" spans="1:17" s="39" customFormat="1" ht="18.5" x14ac:dyDescent="0.45">
      <c r="A216" s="134"/>
      <c r="B216" s="134"/>
      <c r="C216" s="134"/>
      <c r="D216" s="134"/>
      <c r="E216" s="134"/>
      <c r="F216" s="134"/>
      <c r="G216" s="134"/>
      <c r="H216" s="139"/>
      <c r="I216" s="139"/>
      <c r="J216" s="139"/>
      <c r="K216" s="139"/>
      <c r="L216" s="139"/>
      <c r="M216" s="134"/>
      <c r="N216" s="134"/>
      <c r="O216" s="134"/>
      <c r="P216" s="134"/>
      <c r="Q216" s="134"/>
    </row>
    <row r="217" spans="1:17" s="39" customFormat="1" ht="18.5" x14ac:dyDescent="0.45">
      <c r="A217" s="134"/>
      <c r="B217" s="134"/>
      <c r="C217" s="134"/>
      <c r="D217" s="134"/>
      <c r="E217" s="134"/>
      <c r="F217" s="134"/>
      <c r="G217" s="134"/>
      <c r="H217" s="139"/>
      <c r="I217" s="139"/>
      <c r="J217" s="139"/>
      <c r="K217" s="139"/>
      <c r="L217" s="139"/>
      <c r="M217" s="134"/>
      <c r="N217" s="134"/>
      <c r="O217" s="134"/>
      <c r="P217" s="134"/>
      <c r="Q217" s="134"/>
    </row>
    <row r="218" spans="1:17" s="39" customFormat="1" ht="18.5" x14ac:dyDescent="0.45">
      <c r="A218" s="134"/>
      <c r="B218" s="134"/>
      <c r="C218" s="134"/>
      <c r="D218" s="134"/>
      <c r="E218" s="134"/>
      <c r="F218" s="134"/>
      <c r="G218" s="134"/>
      <c r="H218" s="139"/>
      <c r="I218" s="139"/>
      <c r="J218" s="139"/>
      <c r="K218" s="139"/>
      <c r="L218" s="139"/>
      <c r="M218" s="134"/>
      <c r="N218" s="134"/>
      <c r="O218" s="134"/>
      <c r="P218" s="134"/>
      <c r="Q218" s="134"/>
    </row>
    <row r="219" spans="1:17" s="39" customFormat="1" ht="18.5" x14ac:dyDescent="0.45">
      <c r="A219" s="134"/>
      <c r="B219" s="134"/>
      <c r="C219" s="134"/>
      <c r="D219" s="134"/>
      <c r="E219" s="134"/>
      <c r="F219" s="134"/>
      <c r="G219" s="134"/>
      <c r="H219" s="134"/>
      <c r="I219" s="134"/>
      <c r="J219" s="134"/>
      <c r="K219" s="134"/>
      <c r="L219" s="134"/>
      <c r="M219" s="134"/>
      <c r="N219" s="134"/>
      <c r="O219" s="134"/>
      <c r="P219" s="134"/>
      <c r="Q219" s="134"/>
    </row>
    <row r="220" spans="1:17" s="39" customFormat="1" ht="18.5" x14ac:dyDescent="0.45">
      <c r="A220" s="134"/>
      <c r="B220" s="134"/>
      <c r="C220" s="134"/>
      <c r="D220" s="134"/>
      <c r="E220" s="134"/>
      <c r="F220" s="134"/>
      <c r="G220" s="134"/>
      <c r="H220" s="134"/>
      <c r="I220" s="134"/>
      <c r="J220" s="134"/>
      <c r="K220" s="134"/>
      <c r="L220" s="134"/>
      <c r="M220" s="134"/>
      <c r="N220" s="134"/>
      <c r="O220" s="134"/>
      <c r="P220" s="134"/>
      <c r="Q220" s="134"/>
    </row>
    <row r="221" spans="1:17" s="39" customFormat="1" ht="18.5" x14ac:dyDescent="0.45">
      <c r="A221" s="134"/>
      <c r="B221" s="134"/>
      <c r="C221" s="134"/>
      <c r="D221" s="134"/>
      <c r="E221" s="134"/>
      <c r="F221" s="134"/>
      <c r="G221" s="134"/>
      <c r="H221" s="134"/>
      <c r="I221" s="134"/>
      <c r="J221" s="134"/>
      <c r="K221" s="134"/>
      <c r="L221" s="134"/>
      <c r="M221" s="134"/>
      <c r="N221" s="134"/>
      <c r="O221" s="134"/>
      <c r="P221" s="134"/>
      <c r="Q221" s="134"/>
    </row>
    <row r="222" spans="1:17" s="39" customFormat="1" ht="18.5" x14ac:dyDescent="0.45">
      <c r="A222" s="134"/>
      <c r="B222" s="134"/>
      <c r="C222" s="134"/>
      <c r="D222" s="134"/>
      <c r="E222" s="134"/>
      <c r="F222" s="134"/>
      <c r="G222" s="134"/>
      <c r="H222" s="134"/>
      <c r="I222" s="134"/>
      <c r="J222" s="134"/>
      <c r="K222" s="134"/>
      <c r="L222" s="134"/>
      <c r="M222" s="134"/>
      <c r="N222" s="134"/>
      <c r="O222" s="134"/>
      <c r="P222" s="134"/>
      <c r="Q222" s="134"/>
    </row>
    <row r="223" spans="1:17" s="39" customFormat="1" ht="18.5" x14ac:dyDescent="0.45">
      <c r="A223" s="134"/>
      <c r="B223" s="134"/>
      <c r="C223" s="134"/>
      <c r="D223" s="134"/>
      <c r="E223" s="134"/>
      <c r="F223" s="134"/>
      <c r="G223" s="134"/>
      <c r="H223" s="134"/>
      <c r="I223" s="134"/>
      <c r="J223" s="134"/>
      <c r="K223" s="134"/>
      <c r="L223" s="134"/>
      <c r="M223" s="134"/>
      <c r="N223" s="134"/>
      <c r="O223" s="134"/>
      <c r="P223" s="134"/>
      <c r="Q223" s="134"/>
    </row>
    <row r="224" spans="1:17" s="39" customFormat="1" ht="18.5" x14ac:dyDescent="0.45">
      <c r="A224" s="134"/>
      <c r="B224" s="134"/>
      <c r="C224" s="134"/>
      <c r="D224" s="134"/>
      <c r="E224" s="134"/>
      <c r="F224" s="134"/>
      <c r="G224" s="134"/>
      <c r="H224" s="134"/>
      <c r="I224" s="134"/>
      <c r="J224" s="134"/>
      <c r="K224" s="134"/>
      <c r="L224" s="134"/>
      <c r="M224" s="134"/>
      <c r="N224" s="134"/>
      <c r="O224" s="134"/>
      <c r="P224" s="134"/>
      <c r="Q224" s="134"/>
    </row>
    <row r="225" spans="1:17" x14ac:dyDescent="0.35">
      <c r="A225" s="54"/>
      <c r="B225" s="54"/>
      <c r="C225" s="54"/>
      <c r="D225" s="54"/>
      <c r="E225" s="54"/>
      <c r="F225" s="54"/>
      <c r="G225" s="54"/>
      <c r="H225" s="54"/>
      <c r="I225" s="54"/>
      <c r="J225" s="54"/>
      <c r="K225" s="54"/>
      <c r="L225" s="54"/>
      <c r="M225" s="54"/>
      <c r="N225" s="54"/>
      <c r="O225" s="54"/>
      <c r="P225" s="54"/>
      <c r="Q225" s="54"/>
    </row>
  </sheetData>
  <mergeCells count="5">
    <mergeCell ref="M1:Q1"/>
    <mergeCell ref="H171:N171"/>
    <mergeCell ref="H175:H179"/>
    <mergeCell ref="J182:N182"/>
    <mergeCell ref="H184:H188"/>
  </mergeCells>
  <pageMargins left="0.7" right="0.7" top="0.75" bottom="0.75" header="0.3" footer="0.3"/>
  <ignoredErrors>
    <ignoredError sqref="H9 J9:K9" formula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1E957D69-9D2F-422C-8375-7E94C95DA193}">
          <x14:formula1>
            <xm:f>Scenario!$D$5:$D$7</xm:f>
          </x14:formula1>
          <xm:sqref>E7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PL Statement</vt:lpstr>
      <vt:lpstr>BALANCE SHEET</vt:lpstr>
      <vt:lpstr>Cash Flow Statement</vt:lpstr>
      <vt:lpstr>Model</vt:lpstr>
      <vt:lpstr>Scenario</vt:lpstr>
      <vt:lpstr>Market</vt:lpstr>
      <vt:lpstr>Comp Valuation</vt:lpstr>
      <vt:lpstr>WACC</vt:lpstr>
      <vt:lpstr>Beta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ashik jaman</dc:creator>
  <cp:lastModifiedBy>ashik jaman</cp:lastModifiedBy>
  <dcterms:created xsi:type="dcterms:W3CDTF">2026-04-04T07:26:18Z</dcterms:created>
  <dcterms:modified xsi:type="dcterms:W3CDTF">2026-04-26T19:29:12Z</dcterms:modified>
</cp:coreProperties>
</file>